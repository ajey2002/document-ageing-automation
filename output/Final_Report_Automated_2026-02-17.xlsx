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63010001" sheetId="2" state="visible" r:id="rId2"/>
    <sheet name="63010002" sheetId="3" state="visible" r:id="rId3"/>
    <sheet name="63010011" sheetId="4" state="visible" r:id="rId4"/>
    <sheet name="63010012" sheetId="5" state="visible" r:id="rId5"/>
    <sheet name="63010061" sheetId="6" state="visible" r:id="rId6"/>
    <sheet name="63010101" sheetId="7" state="visible" r:id="rId7"/>
    <sheet name="63010162" sheetId="8" state="visible" r:id="rId8"/>
    <sheet name="63010502" sheetId="9" state="visible" r:id="rId9"/>
    <sheet name="63010512" sheetId="10" state="visible" r:id="rId10"/>
    <sheet name="63011001" sheetId="11" state="visible" r:id="rId11"/>
    <sheet name="63011011" sheetId="12" state="visible" r:id="rId12"/>
    <sheet name="63020001" sheetId="13" state="visible" r:id="rId13"/>
    <sheet name="63020002" sheetId="14" state="visible" r:id="rId14"/>
    <sheet name="63020011" sheetId="15" state="visible" r:id="rId15"/>
    <sheet name="63020022" sheetId="16" state="visible" r:id="rId16"/>
    <sheet name="63020051" sheetId="17" state="visible" r:id="rId17"/>
    <sheet name="63020601" sheetId="18" state="visible" r:id="rId18"/>
    <sheet name="63020602" sheetId="19" state="visible" r:id="rId19"/>
    <sheet name="63020621" sheetId="20" state="visible" r:id="rId20"/>
    <sheet name="63070001" sheetId="21" state="visible" r:id="rId21"/>
    <sheet name="63070002" sheetId="22" state="visible" r:id="rId22"/>
    <sheet name="63070012" sheetId="23" state="visible" r:id="rId23"/>
    <sheet name="63070501" sheetId="24" state="visible" r:id="rId24"/>
    <sheet name="63070502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9DC3E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center" vertical="bottom"/>
    </xf>
    <xf numFmtId="0" fontId="3" fillId="0" borderId="2" applyAlignment="1" pivotButton="0" quotePrefix="0" xfId="0">
      <alignment horizontal="left" vertical="bottom"/>
    </xf>
    <xf numFmtId="164" fontId="3" fillId="0" borderId="2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9" customWidth="1" min="3" max="3"/>
    <col width="22" customWidth="1" min="4" max="4"/>
    <col width="16" customWidth="1" min="5" max="5"/>
    <col width="26" customWidth="1" min="6" max="6"/>
  </cols>
  <sheetData>
    <row r="1">
      <c r="A1" s="1" t="inlineStr">
        <is>
          <t>Document Ageing Report as at 17.02.2026</t>
        </is>
      </c>
    </row>
    <row r="2"/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currency</t>
        </is>
      </c>
      <c r="D3" s="2" t="inlineStr">
        <is>
          <t>Amount in doc. curr.</t>
        </is>
      </c>
      <c r="E3" s="2" t="inlineStr">
        <is>
          <t>Local Currency</t>
        </is>
      </c>
      <c r="F3" s="2" t="inlineStr">
        <is>
          <t>Amount in local currency</t>
        </is>
      </c>
    </row>
    <row r="4">
      <c r="A4" s="3" t="inlineStr">
        <is>
          <t>UN0100</t>
        </is>
      </c>
      <c r="B4" s="3" t="inlineStr">
        <is>
          <t>63010001</t>
        </is>
      </c>
      <c r="C4" s="3" t="inlineStr">
        <is>
          <t>USD</t>
        </is>
      </c>
      <c r="D4" s="4" t="n">
        <v>-5075015.33</v>
      </c>
      <c r="E4" s="3" t="inlineStr">
        <is>
          <t>USD</t>
        </is>
      </c>
      <c r="F4" s="4" t="n">
        <v>-5075015.33</v>
      </c>
    </row>
    <row r="5">
      <c r="A5" s="3" t="inlineStr">
        <is>
          <t>UN0150</t>
        </is>
      </c>
      <c r="B5" s="3" t="inlineStr">
        <is>
          <t>63010001</t>
        </is>
      </c>
      <c r="C5" s="3" t="inlineStr">
        <is>
          <t>USD</t>
        </is>
      </c>
      <c r="D5" s="4" t="n">
        <v>-1940771.46</v>
      </c>
      <c r="E5" s="3" t="inlineStr">
        <is>
          <t>USD</t>
        </is>
      </c>
      <c r="F5" s="4" t="n">
        <v>-1940771.46</v>
      </c>
    </row>
    <row r="6">
      <c r="A6" s="3" t="inlineStr">
        <is>
          <t>XT0150</t>
        </is>
      </c>
      <c r="B6" s="3" t="inlineStr">
        <is>
          <t>63010001</t>
        </is>
      </c>
      <c r="C6" s="3" t="inlineStr">
        <is>
          <t>USD</t>
        </is>
      </c>
      <c r="D6" s="4" t="n">
        <v>-6255768.25</v>
      </c>
      <c r="E6" s="3" t="inlineStr">
        <is>
          <t>USD</t>
        </is>
      </c>
      <c r="F6" s="4" t="n">
        <v>-6255768.25</v>
      </c>
    </row>
    <row r="7">
      <c r="A7" s="3" t="inlineStr">
        <is>
          <t>UN0100</t>
        </is>
      </c>
      <c r="B7" s="3" t="inlineStr">
        <is>
          <t>63010002</t>
        </is>
      </c>
      <c r="C7" s="3" t="inlineStr">
        <is>
          <t>USD</t>
        </is>
      </c>
      <c r="D7" s="4" t="n">
        <v>10602307.38</v>
      </c>
      <c r="E7" s="3" t="inlineStr">
        <is>
          <t>USD</t>
        </is>
      </c>
      <c r="F7" s="4" t="n">
        <v>10602307.38</v>
      </c>
    </row>
    <row r="8">
      <c r="A8" s="3" t="inlineStr">
        <is>
          <t>UN0150</t>
        </is>
      </c>
      <c r="B8" s="3" t="inlineStr">
        <is>
          <t>63010002</t>
        </is>
      </c>
      <c r="C8" s="3" t="inlineStr">
        <is>
          <t>USD</t>
        </is>
      </c>
      <c r="D8" s="4" t="n">
        <v>4162651.11</v>
      </c>
      <c r="E8" s="3" t="inlineStr">
        <is>
          <t>USD</t>
        </is>
      </c>
      <c r="F8" s="4" t="n">
        <v>4162651.11</v>
      </c>
    </row>
    <row r="9">
      <c r="A9" s="3" t="inlineStr">
        <is>
          <t>XT0150</t>
        </is>
      </c>
      <c r="B9" s="3" t="inlineStr">
        <is>
          <t>63010002</t>
        </is>
      </c>
      <c r="C9" s="3" t="inlineStr">
        <is>
          <t>USD</t>
        </is>
      </c>
      <c r="D9" s="4" t="n">
        <v>10138536.65</v>
      </c>
      <c r="E9" s="3" t="inlineStr">
        <is>
          <t>USD</t>
        </is>
      </c>
      <c r="F9" s="4" t="n">
        <v>10138536.65</v>
      </c>
    </row>
    <row r="10">
      <c r="A10" s="3" t="inlineStr">
        <is>
          <t>UN0100</t>
        </is>
      </c>
      <c r="B10" s="3" t="inlineStr">
        <is>
          <t>63010011</t>
        </is>
      </c>
      <c r="C10" s="3" t="inlineStr">
        <is>
          <t>LKR</t>
        </is>
      </c>
      <c r="D10" s="4" t="n">
        <v>-87328000</v>
      </c>
      <c r="E10" s="3" t="inlineStr">
        <is>
          <t>USD</t>
        </is>
      </c>
      <c r="F10" s="4" t="n">
        <v>-468975.88</v>
      </c>
    </row>
    <row r="11">
      <c r="A11" s="3" t="inlineStr">
        <is>
          <t>UN0150</t>
        </is>
      </c>
      <c r="B11" s="3" t="inlineStr">
        <is>
          <t>63010011</t>
        </is>
      </c>
      <c r="C11" s="3" t="inlineStr">
        <is>
          <t>LKR</t>
        </is>
      </c>
      <c r="D11" s="4" t="n">
        <v>-776102967.9299999</v>
      </c>
      <c r="E11" s="3" t="inlineStr">
        <is>
          <t>USD</t>
        </is>
      </c>
      <c r="F11" s="4" t="n">
        <v>-4167890.91</v>
      </c>
    </row>
    <row r="12">
      <c r="A12" s="3" t="inlineStr">
        <is>
          <t>XT0150</t>
        </is>
      </c>
      <c r="B12" s="3" t="inlineStr">
        <is>
          <t>63010011</t>
        </is>
      </c>
      <c r="C12" s="3" t="inlineStr">
        <is>
          <t>LKR</t>
        </is>
      </c>
      <c r="D12" s="4" t="n">
        <v>-1411025223.89</v>
      </c>
      <c r="E12" s="3" t="inlineStr">
        <is>
          <t>USD</t>
        </is>
      </c>
      <c r="F12" s="4" t="n">
        <v>-7577601.72</v>
      </c>
    </row>
    <row r="13">
      <c r="A13" s="3" t="inlineStr">
        <is>
          <t>UN0100</t>
        </is>
      </c>
      <c r="B13" s="3" t="inlineStr">
        <is>
          <t>63010012</t>
        </is>
      </c>
      <c r="C13" s="3" t="inlineStr">
        <is>
          <t>LKR</t>
        </is>
      </c>
      <c r="D13" s="4" t="n">
        <v>104342390.88</v>
      </c>
      <c r="E13" s="3" t="inlineStr">
        <is>
          <t>USD</t>
        </is>
      </c>
      <c r="F13" s="4" t="n">
        <v>560321.4199999999</v>
      </c>
    </row>
    <row r="14">
      <c r="A14" s="3" t="inlineStr">
        <is>
          <t>UN0150</t>
        </is>
      </c>
      <c r="B14" s="3" t="inlineStr">
        <is>
          <t>63010012</t>
        </is>
      </c>
      <c r="C14" s="3" t="inlineStr">
        <is>
          <t>LKR</t>
        </is>
      </c>
      <c r="D14" s="4" t="n">
        <v>750381525.09</v>
      </c>
      <c r="E14" s="3" t="inlineStr">
        <is>
          <t>USD</t>
        </is>
      </c>
      <c r="F14" s="4" t="n">
        <v>4029172.38</v>
      </c>
    </row>
    <row r="15">
      <c r="A15" s="3" t="inlineStr">
        <is>
          <t>XT0150</t>
        </is>
      </c>
      <c r="B15" s="3" t="inlineStr">
        <is>
          <t>63010012</t>
        </is>
      </c>
      <c r="C15" s="3" t="inlineStr">
        <is>
          <t>LKR</t>
        </is>
      </c>
      <c r="D15" s="4" t="n">
        <v>1349137385.21</v>
      </c>
      <c r="E15" s="3" t="inlineStr">
        <is>
          <t>USD</t>
        </is>
      </c>
      <c r="F15" s="4" t="n">
        <v>7244961.04</v>
      </c>
    </row>
    <row r="16">
      <c r="A16" s="3" t="inlineStr">
        <is>
          <t>XT0150</t>
        </is>
      </c>
      <c r="B16" s="3" t="inlineStr">
        <is>
          <t>63010061</t>
        </is>
      </c>
      <c r="C16" s="3" t="inlineStr">
        <is>
          <t>HKD</t>
        </is>
      </c>
      <c r="D16" s="4" t="n">
        <v>-1800000</v>
      </c>
      <c r="E16" s="3" t="inlineStr">
        <is>
          <t>USD</t>
        </is>
      </c>
      <c r="F16" s="4" t="n">
        <v>-232183.17</v>
      </c>
    </row>
    <row r="17">
      <c r="A17" s="3" t="inlineStr">
        <is>
          <t>XT0150</t>
        </is>
      </c>
      <c r="B17" s="3" t="inlineStr">
        <is>
          <t>63010101</t>
        </is>
      </c>
      <c r="C17" s="3" t="inlineStr">
        <is>
          <t>EUR</t>
        </is>
      </c>
      <c r="D17" s="4" t="n">
        <v>-50029.99</v>
      </c>
      <c r="E17" s="3" t="inlineStr">
        <is>
          <t>USD</t>
        </is>
      </c>
      <c r="F17" s="4" t="n">
        <v>-55688.38</v>
      </c>
    </row>
    <row r="18">
      <c r="A18" s="3" t="inlineStr">
        <is>
          <t>UN0100</t>
        </is>
      </c>
      <c r="B18" s="3" t="inlineStr">
        <is>
          <t>63010162</t>
        </is>
      </c>
      <c r="C18" s="3" t="inlineStr">
        <is>
          <t>USD</t>
        </is>
      </c>
      <c r="D18" s="4" t="n">
        <v>1200328.84</v>
      </c>
      <c r="E18" s="3" t="inlineStr">
        <is>
          <t>USD</t>
        </is>
      </c>
      <c r="F18" s="4" t="n">
        <v>1200328.84</v>
      </c>
    </row>
    <row r="19">
      <c r="A19" s="3" t="inlineStr">
        <is>
          <t>UN0100</t>
        </is>
      </c>
      <c r="B19" s="3" t="inlineStr">
        <is>
          <t>63010502</t>
        </is>
      </c>
      <c r="C19" s="3" t="inlineStr">
        <is>
          <t>USD</t>
        </is>
      </c>
      <c r="D19" s="4" t="n">
        <v>3200350.16</v>
      </c>
      <c r="E19" s="3" t="inlineStr">
        <is>
          <t>USD</t>
        </is>
      </c>
      <c r="F19" s="4" t="n">
        <v>3200350.16</v>
      </c>
    </row>
    <row r="20">
      <c r="A20" s="3" t="inlineStr">
        <is>
          <t>UN0150</t>
        </is>
      </c>
      <c r="B20" s="3" t="inlineStr">
        <is>
          <t>63010502</t>
        </is>
      </c>
      <c r="C20" s="3" t="inlineStr">
        <is>
          <t>USD</t>
        </is>
      </c>
      <c r="D20" s="4" t="n">
        <v>1283177.49</v>
      </c>
      <c r="E20" s="3" t="inlineStr">
        <is>
          <t>USD</t>
        </is>
      </c>
      <c r="F20" s="4" t="n">
        <v>1283177.49</v>
      </c>
    </row>
    <row r="21">
      <c r="A21" s="3" t="inlineStr">
        <is>
          <t>UN0100</t>
        </is>
      </c>
      <c r="B21" s="3" t="inlineStr">
        <is>
          <t>63010512</t>
        </is>
      </c>
      <c r="C21" s="3" t="inlineStr">
        <is>
          <t>LKR</t>
        </is>
      </c>
      <c r="D21" s="4" t="n">
        <v>-10000000</v>
      </c>
      <c r="E21" s="3" t="inlineStr">
        <is>
          <t>USD</t>
        </is>
      </c>
      <c r="F21" s="4" t="n">
        <v>-53702.81</v>
      </c>
    </row>
    <row r="22">
      <c r="A22" s="3" t="inlineStr">
        <is>
          <t>XT0150</t>
        </is>
      </c>
      <c r="B22" s="3" t="inlineStr">
        <is>
          <t>63011001</t>
        </is>
      </c>
      <c r="C22" s="3" t="inlineStr">
        <is>
          <t>USD</t>
        </is>
      </c>
      <c r="D22" s="4" t="n">
        <v>-1006397.46</v>
      </c>
      <c r="E22" s="3" t="inlineStr">
        <is>
          <t>USD</t>
        </is>
      </c>
      <c r="F22" s="4" t="n">
        <v>-1006397.46</v>
      </c>
    </row>
    <row r="23">
      <c r="A23" s="3" t="inlineStr">
        <is>
          <t>XT0150</t>
        </is>
      </c>
      <c r="B23" s="3" t="inlineStr">
        <is>
          <t>63011011</t>
        </is>
      </c>
      <c r="C23" s="3" t="inlineStr">
        <is>
          <t>LKR</t>
        </is>
      </c>
      <c r="D23" s="4" t="n">
        <v>-240245452.54</v>
      </c>
      <c r="E23" s="3" t="inlineStr">
        <is>
          <t>USD</t>
        </is>
      </c>
      <c r="F23" s="4" t="n">
        <v>-1290185.31</v>
      </c>
    </row>
    <row r="24">
      <c r="A24" s="3" t="inlineStr">
        <is>
          <t>UN0150</t>
        </is>
      </c>
      <c r="B24" s="3" t="inlineStr">
        <is>
          <t>63020001</t>
        </is>
      </c>
      <c r="C24" s="3" t="inlineStr">
        <is>
          <t>LKR</t>
        </is>
      </c>
      <c r="D24" s="4" t="n">
        <v>-5249772.24</v>
      </c>
      <c r="E24" s="3" t="inlineStr">
        <is>
          <t>USD</t>
        </is>
      </c>
      <c r="F24" s="4" t="n">
        <v>-28192.76</v>
      </c>
    </row>
    <row r="25">
      <c r="A25" s="3" t="inlineStr">
        <is>
          <t>UN0151</t>
        </is>
      </c>
      <c r="B25" s="3" t="inlineStr">
        <is>
          <t>63020001</t>
        </is>
      </c>
      <c r="C25" s="3" t="inlineStr">
        <is>
          <t>LKR</t>
        </is>
      </c>
      <c r="D25" s="4" t="n">
        <v>127435</v>
      </c>
      <c r="E25" s="3" t="inlineStr">
        <is>
          <t>USD</t>
        </is>
      </c>
      <c r="F25" s="4" t="n">
        <v>684.37</v>
      </c>
    </row>
    <row r="26">
      <c r="A26" s="3" t="inlineStr">
        <is>
          <t>XT0150</t>
        </is>
      </c>
      <c r="B26" s="3" t="inlineStr">
        <is>
          <t>63020001</t>
        </is>
      </c>
      <c r="C26" s="3" t="inlineStr">
        <is>
          <t>LKR</t>
        </is>
      </c>
      <c r="D26" s="4" t="n">
        <v>-4382348.73</v>
      </c>
      <c r="E26" s="3" t="inlineStr">
        <is>
          <t>USD</t>
        </is>
      </c>
      <c r="F26" s="4" t="n">
        <v>-23534.43</v>
      </c>
    </row>
    <row r="27">
      <c r="A27" s="3" t="inlineStr">
        <is>
          <t>XT0151</t>
        </is>
      </c>
      <c r="B27" s="3" t="inlineStr">
        <is>
          <t>63020001</t>
        </is>
      </c>
      <c r="C27" s="3" t="inlineStr">
        <is>
          <t>LKR</t>
        </is>
      </c>
      <c r="D27" s="4" t="n">
        <v>2785</v>
      </c>
      <c r="E27" s="3" t="inlineStr">
        <is>
          <t>USD</t>
        </is>
      </c>
      <c r="F27" s="4" t="n">
        <v>14.92</v>
      </c>
    </row>
    <row r="28">
      <c r="A28" s="3" t="inlineStr">
        <is>
          <t>UN0100</t>
        </is>
      </c>
      <c r="B28" s="3" t="inlineStr">
        <is>
          <t>63020002</t>
        </is>
      </c>
      <c r="C28" s="3" t="inlineStr">
        <is>
          <t>LKR</t>
        </is>
      </c>
      <c r="D28" s="4" t="n">
        <v>10096056</v>
      </c>
      <c r="E28" s="3" t="inlineStr">
        <is>
          <t>USD</t>
        </is>
      </c>
      <c r="F28" s="4" t="n">
        <v>54218.67000000001</v>
      </c>
    </row>
    <row r="29">
      <c r="A29" s="3" t="inlineStr">
        <is>
          <t>UN0150</t>
        </is>
      </c>
      <c r="B29" s="3" t="inlineStr">
        <is>
          <t>63020002</t>
        </is>
      </c>
      <c r="C29" s="3" t="inlineStr">
        <is>
          <t>LKR</t>
        </is>
      </c>
      <c r="D29" s="4" t="n">
        <v>6732115.42</v>
      </c>
      <c r="E29" s="3" t="inlineStr">
        <is>
          <t>USD</t>
        </is>
      </c>
      <c r="F29" s="4" t="n">
        <v>36153.37</v>
      </c>
    </row>
    <row r="30">
      <c r="A30" s="3" t="inlineStr">
        <is>
          <t>UN0151</t>
        </is>
      </c>
      <c r="B30" s="3" t="inlineStr">
        <is>
          <t>63020002</t>
        </is>
      </c>
      <c r="C30" s="3" t="inlineStr">
        <is>
          <t>LKR</t>
        </is>
      </c>
      <c r="D30" s="4" t="n">
        <v>-1915567</v>
      </c>
      <c r="E30" s="3" t="inlineStr">
        <is>
          <t>USD</t>
        </is>
      </c>
      <c r="F30" s="4" t="n">
        <v>-10287.13</v>
      </c>
    </row>
    <row r="31">
      <c r="A31" s="3" t="inlineStr">
        <is>
          <t>XT0150</t>
        </is>
      </c>
      <c r="B31" s="3" t="inlineStr">
        <is>
          <t>63020002</t>
        </is>
      </c>
      <c r="C31" s="3" t="inlineStr">
        <is>
          <t>LKR</t>
        </is>
      </c>
      <c r="D31" s="4" t="n">
        <v>4928861.55</v>
      </c>
      <c r="E31" s="3" t="inlineStr">
        <is>
          <t>USD</t>
        </is>
      </c>
      <c r="F31" s="4" t="n">
        <v>26469.37</v>
      </c>
    </row>
    <row r="32">
      <c r="A32" s="3" t="inlineStr">
        <is>
          <t>XT0150</t>
        </is>
      </c>
      <c r="B32" s="3" t="inlineStr">
        <is>
          <t>63020011</t>
        </is>
      </c>
      <c r="C32" s="3" t="inlineStr">
        <is>
          <t>LKR</t>
        </is>
      </c>
      <c r="D32" s="4" t="n">
        <v>-65000000</v>
      </c>
      <c r="E32" s="3" t="inlineStr">
        <is>
          <t>USD</t>
        </is>
      </c>
      <c r="F32" s="4" t="n">
        <v>-349068.26</v>
      </c>
    </row>
    <row r="33">
      <c r="A33" s="3" t="inlineStr">
        <is>
          <t>UN0100</t>
        </is>
      </c>
      <c r="B33" s="3" t="inlineStr">
        <is>
          <t>63020022</t>
        </is>
      </c>
      <c r="C33" s="3" t="inlineStr">
        <is>
          <t>USD</t>
        </is>
      </c>
      <c r="D33" s="4" t="n">
        <v>1843.75</v>
      </c>
      <c r="E33" s="3" t="inlineStr">
        <is>
          <t>USD</t>
        </is>
      </c>
      <c r="F33" s="4" t="n">
        <v>1843.75</v>
      </c>
    </row>
    <row r="34">
      <c r="A34" s="3" t="inlineStr">
        <is>
          <t>UN0150</t>
        </is>
      </c>
      <c r="B34" s="3" t="inlineStr">
        <is>
          <t>63020022</t>
        </is>
      </c>
      <c r="C34" s="3" t="inlineStr">
        <is>
          <t>LKR</t>
        </is>
      </c>
      <c r="D34" s="4" t="n">
        <v>-15000000</v>
      </c>
      <c r="E34" s="3" t="inlineStr">
        <is>
          <t>USD</t>
        </is>
      </c>
      <c r="F34" s="4" t="n">
        <v>-80554.21000000001</v>
      </c>
    </row>
    <row r="35">
      <c r="A35" s="3" t="inlineStr">
        <is>
          <t>UN0150</t>
        </is>
      </c>
      <c r="B35" s="3" t="inlineStr">
        <is>
          <t>63020022</t>
        </is>
      </c>
      <c r="C35" s="3" t="inlineStr">
        <is>
          <t>USD</t>
        </is>
      </c>
      <c r="D35" s="4" t="n">
        <v>40</v>
      </c>
      <c r="E35" s="3" t="inlineStr">
        <is>
          <t>USD</t>
        </is>
      </c>
      <c r="F35" s="4" t="n">
        <v>40</v>
      </c>
    </row>
    <row r="36">
      <c r="A36" s="3" t="inlineStr">
        <is>
          <t>XT0150</t>
        </is>
      </c>
      <c r="B36" s="3" t="inlineStr">
        <is>
          <t>63020051</t>
        </is>
      </c>
      <c r="C36" s="3" t="inlineStr">
        <is>
          <t>LKR</t>
        </is>
      </c>
      <c r="D36" s="4" t="n">
        <v>-35363469.34</v>
      </c>
      <c r="E36" s="3" t="inlineStr">
        <is>
          <t>USD</t>
        </is>
      </c>
      <c r="F36" s="4" t="n">
        <v>-189911.76</v>
      </c>
    </row>
    <row r="37">
      <c r="A37" s="3" t="inlineStr">
        <is>
          <t>UN0100</t>
        </is>
      </c>
      <c r="B37" s="3" t="inlineStr">
        <is>
          <t>63020601</t>
        </is>
      </c>
      <c r="C37" s="3" t="inlineStr">
        <is>
          <t>LKR</t>
        </is>
      </c>
      <c r="D37" s="4" t="n">
        <v>-5000000</v>
      </c>
      <c r="E37" s="3" t="inlineStr">
        <is>
          <t>USD</t>
        </is>
      </c>
      <c r="F37" s="4" t="n">
        <v>-26851.4</v>
      </c>
    </row>
    <row r="38">
      <c r="A38" s="3" t="inlineStr">
        <is>
          <t>UN0150</t>
        </is>
      </c>
      <c r="B38" s="3" t="inlineStr">
        <is>
          <t>63020601</t>
        </is>
      </c>
      <c r="C38" s="3" t="inlineStr">
        <is>
          <t>LKR</t>
        </is>
      </c>
      <c r="D38" s="4" t="n">
        <v>-300</v>
      </c>
      <c r="E38" s="3" t="inlineStr">
        <is>
          <t>USD</t>
        </is>
      </c>
      <c r="F38" s="4" t="n">
        <v>-1.61</v>
      </c>
    </row>
    <row r="39">
      <c r="A39" s="3" t="inlineStr">
        <is>
          <t>UN0100</t>
        </is>
      </c>
      <c r="B39" s="3" t="inlineStr">
        <is>
          <t>63020602</t>
        </is>
      </c>
      <c r="C39" s="3" t="inlineStr">
        <is>
          <t>LKR</t>
        </is>
      </c>
      <c r="D39" s="4" t="n">
        <v>1058446.5</v>
      </c>
      <c r="E39" s="3" t="inlineStr">
        <is>
          <t>USD</t>
        </is>
      </c>
      <c r="F39" s="4" t="n">
        <v>5684.16</v>
      </c>
    </row>
    <row r="40">
      <c r="A40" s="3" t="inlineStr">
        <is>
          <t>UN0150</t>
        </is>
      </c>
      <c r="B40" s="3" t="inlineStr">
        <is>
          <t>63020602</t>
        </is>
      </c>
      <c r="C40" s="3" t="inlineStr">
        <is>
          <t>LKR</t>
        </is>
      </c>
      <c r="D40" s="4" t="n">
        <v>13304303.16</v>
      </c>
      <c r="E40" s="3" t="inlineStr">
        <is>
          <t>USD</t>
        </is>
      </c>
      <c r="F40" s="4" t="n">
        <v>71447.85000000001</v>
      </c>
    </row>
    <row r="41">
      <c r="A41" s="3" t="inlineStr">
        <is>
          <t>UN0150</t>
        </is>
      </c>
      <c r="B41" s="3" t="inlineStr">
        <is>
          <t>63020621</t>
        </is>
      </c>
      <c r="C41" s="3" t="inlineStr">
        <is>
          <t>USD</t>
        </is>
      </c>
      <c r="D41" s="4" t="n">
        <v>-4375</v>
      </c>
      <c r="E41" s="3" t="inlineStr">
        <is>
          <t>USD</t>
        </is>
      </c>
      <c r="F41" s="4" t="n">
        <v>-4375</v>
      </c>
    </row>
    <row r="42">
      <c r="A42" s="3" t="inlineStr">
        <is>
          <t>XT0150</t>
        </is>
      </c>
      <c r="B42" s="3" t="inlineStr">
        <is>
          <t>63070001</t>
        </is>
      </c>
      <c r="C42" s="3" t="inlineStr">
        <is>
          <t>USD</t>
        </is>
      </c>
      <c r="D42" s="4" t="n">
        <v>-3658218.2</v>
      </c>
      <c r="E42" s="3" t="inlineStr">
        <is>
          <t>USD</t>
        </is>
      </c>
      <c r="F42" s="4" t="n">
        <v>-3658218.2</v>
      </c>
    </row>
    <row r="43">
      <c r="A43" s="3" t="inlineStr">
        <is>
          <t>XT0150</t>
        </is>
      </c>
      <c r="B43" s="3" t="inlineStr">
        <is>
          <t>63070002</t>
        </is>
      </c>
      <c r="C43" s="3" t="inlineStr">
        <is>
          <t>USD</t>
        </is>
      </c>
      <c r="D43" s="4" t="n">
        <v>4308857.31</v>
      </c>
      <c r="E43" s="3" t="inlineStr">
        <is>
          <t>USD</t>
        </is>
      </c>
      <c r="F43" s="4" t="n">
        <v>4308857.31</v>
      </c>
    </row>
    <row r="44">
      <c r="A44" s="3" t="inlineStr">
        <is>
          <t>UN0150</t>
        </is>
      </c>
      <c r="B44" s="3" t="inlineStr">
        <is>
          <t>63070012</t>
        </is>
      </c>
      <c r="C44" s="3" t="inlineStr">
        <is>
          <t>USD</t>
        </is>
      </c>
      <c r="D44" s="4" t="n">
        <v>250851.46</v>
      </c>
      <c r="E44" s="3" t="inlineStr">
        <is>
          <t>USD</t>
        </is>
      </c>
      <c r="F44" s="4" t="n">
        <v>250851.46</v>
      </c>
    </row>
    <row r="45">
      <c r="A45" s="3" t="inlineStr">
        <is>
          <t>UN0150</t>
        </is>
      </c>
      <c r="B45" s="3" t="inlineStr">
        <is>
          <t>63070501</t>
        </is>
      </c>
      <c r="C45" s="3" t="inlineStr">
        <is>
          <t>LKR</t>
        </is>
      </c>
      <c r="D45" s="4" t="n">
        <v>-389064221.27</v>
      </c>
      <c r="E45" s="3" t="inlineStr">
        <is>
          <t>USD</t>
        </is>
      </c>
      <c r="F45" s="4" t="n">
        <v>-2089384.14</v>
      </c>
    </row>
    <row r="46">
      <c r="A46" s="3" t="inlineStr">
        <is>
          <t>UN0150</t>
        </is>
      </c>
      <c r="B46" s="3" t="inlineStr">
        <is>
          <t>63070502</t>
        </is>
      </c>
      <c r="C46" s="3" t="inlineStr">
        <is>
          <t>LKR</t>
        </is>
      </c>
      <c r="D46" s="4" t="n">
        <v>551275903.51</v>
      </c>
      <c r="E46" s="3" t="inlineStr">
        <is>
          <t>USD</t>
        </is>
      </c>
      <c r="F46" s="4" t="n">
        <v>2960506.45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7" customWidth="1" min="9" max="9"/>
    <col width="30" customWidth="1" min="10" max="10"/>
  </cols>
  <sheetData>
    <row r="1"/>
    <row r="2">
      <c r="A2" s="1" t="inlineStr">
        <is>
          <t>Account: 63010001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UN0100</t>
        </is>
      </c>
      <c r="B4" s="3" t="inlineStr">
        <is>
          <t>63010001</t>
        </is>
      </c>
      <c r="C4" s="6" t="n">
        <v>43836</v>
      </c>
      <c r="D4" s="3" t="inlineStr">
        <is>
          <t>FZ</t>
        </is>
      </c>
      <c r="E4" s="3" t="inlineStr">
        <is>
          <t>USD</t>
        </is>
      </c>
      <c r="F4" s="4" t="n">
        <v>-100551.3</v>
      </c>
      <c r="G4" s="3" t="inlineStr">
        <is>
          <t>USD</t>
        </is>
      </c>
      <c r="H4" s="4" t="n">
        <v>-100551.3</v>
      </c>
      <c r="I4" s="5" t="inlineStr">
        <is>
          <t>06015309EUB501 CHEURGE WEUVED EUSCENEU GLBEUL SURCNG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63010001</t>
        </is>
      </c>
      <c r="C5" s="6" t="n">
        <v>43836</v>
      </c>
      <c r="D5" s="3" t="inlineStr">
        <is>
          <t>DZ</t>
        </is>
      </c>
      <c r="E5" s="3" t="inlineStr">
        <is>
          <t>USD</t>
        </is>
      </c>
      <c r="F5" s="4" t="n">
        <v>8446.709999999999</v>
      </c>
      <c r="G5" s="3" t="inlineStr">
        <is>
          <t>USD</t>
        </is>
      </c>
      <c r="H5" s="4" t="n">
        <v>8446.709999999999</v>
      </c>
      <c r="I5" s="5" t="inlineStr">
        <is>
          <t>0601530BCC701 PRCEEDS F PURC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63010001</t>
        </is>
      </c>
      <c r="C6" s="6" t="n">
        <v>43836</v>
      </c>
      <c r="D6" s="3" t="inlineStr">
        <is>
          <t>FZ</t>
        </is>
      </c>
      <c r="E6" s="3" t="inlineStr">
        <is>
          <t>USD</t>
        </is>
      </c>
      <c r="F6" s="4" t="n">
        <v>-8446.709999999999</v>
      </c>
      <c r="G6" s="3" t="inlineStr">
        <is>
          <t>USD</t>
        </is>
      </c>
      <c r="H6" s="4" t="n">
        <v>-8446.709999999999</v>
      </c>
      <c r="I6" s="5" t="inlineStr">
        <is>
          <t>0601530BCC701 PRCEEDS F PURCHEUSE F RECEVEUBLES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63010001</t>
        </is>
      </c>
      <c r="C7" s="6" t="n">
        <v>43836</v>
      </c>
      <c r="D7" s="3" t="inlineStr">
        <is>
          <t>DZ</t>
        </is>
      </c>
      <c r="E7" s="3" t="inlineStr">
        <is>
          <t>USD</t>
        </is>
      </c>
      <c r="F7" s="4" t="n">
        <v>28815.39</v>
      </c>
      <c r="G7" s="3" t="inlineStr">
        <is>
          <t>USD</t>
        </is>
      </c>
      <c r="H7" s="4" t="n">
        <v>28815.39</v>
      </c>
      <c r="I7" s="5" t="inlineStr">
        <is>
          <t>0601530BDE801 PRCEEDS F PURC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63010001</t>
        </is>
      </c>
      <c r="C8" s="6" t="n">
        <v>43836</v>
      </c>
      <c r="D8" s="3" t="inlineStr">
        <is>
          <t>FZ</t>
        </is>
      </c>
      <c r="E8" s="3" t="inlineStr">
        <is>
          <t>USD</t>
        </is>
      </c>
      <c r="F8" s="4" t="n">
        <v>-28815.39</v>
      </c>
      <c r="G8" s="3" t="inlineStr">
        <is>
          <t>USD</t>
        </is>
      </c>
      <c r="H8" s="4" t="n">
        <v>-28815.39</v>
      </c>
      <c r="I8" s="5" t="inlineStr">
        <is>
          <t>0601530BDE801 PRCEEDS F PURCHEUSE F RECEVEUBLES</t>
        </is>
      </c>
      <c r="J8" s="3">
        <f>IF(C8="","",TODAY()-C8)</f>
        <v/>
      </c>
    </row>
    <row r="9">
      <c r="A9" s="5" t="inlineStr">
        <is>
          <t>XT0150</t>
        </is>
      </c>
      <c r="B9" s="3" t="inlineStr">
        <is>
          <t>63010001</t>
        </is>
      </c>
      <c r="C9" s="6" t="n">
        <v>43836</v>
      </c>
      <c r="D9" s="3" t="inlineStr">
        <is>
          <t>DZ</t>
        </is>
      </c>
      <c r="E9" s="3" t="inlineStr">
        <is>
          <t>USD</t>
        </is>
      </c>
      <c r="F9" s="4" t="n">
        <v>5647.24</v>
      </c>
      <c r="G9" s="3" t="inlineStr">
        <is>
          <t>USD</t>
        </is>
      </c>
      <c r="H9" s="4" t="n">
        <v>5647.24</v>
      </c>
      <c r="I9" s="5" t="inlineStr">
        <is>
          <t>0601530BDEB01 PRCEEDS F PURC</t>
        </is>
      </c>
      <c r="J9" s="3">
        <f>IF(C9="","",TODAY()-C9)</f>
        <v/>
      </c>
    </row>
    <row r="10">
      <c r="A10" s="5" t="inlineStr">
        <is>
          <t>XT0150</t>
        </is>
      </c>
      <c r="B10" s="3" t="inlineStr">
        <is>
          <t>63010001</t>
        </is>
      </c>
      <c r="C10" s="6" t="n">
        <v>43836</v>
      </c>
      <c r="D10" s="3" t="inlineStr">
        <is>
          <t>FZ</t>
        </is>
      </c>
      <c r="E10" s="3" t="inlineStr">
        <is>
          <t>USD</t>
        </is>
      </c>
      <c r="F10" s="4" t="n">
        <v>-5647.24</v>
      </c>
      <c r="G10" s="3" t="inlineStr">
        <is>
          <t>USD</t>
        </is>
      </c>
      <c r="H10" s="4" t="n">
        <v>-5647.24</v>
      </c>
      <c r="I10" s="5" t="inlineStr">
        <is>
          <t>0601530BDEB01 PRCEEDS F PURCHEUSE F RECEVEUBLES</t>
        </is>
      </c>
      <c r="J10" s="3">
        <f>IF(C10="","",TODAY()-C10)</f>
        <v/>
      </c>
    </row>
    <row r="11">
      <c r="A11" s="5" t="inlineStr">
        <is>
          <t>XT0150</t>
        </is>
      </c>
      <c r="B11" s="3" t="inlineStr">
        <is>
          <t>63010001</t>
        </is>
      </c>
      <c r="C11" s="6" t="n">
        <v>43836</v>
      </c>
      <c r="D11" s="3" t="inlineStr">
        <is>
          <t>DZ</t>
        </is>
      </c>
      <c r="E11" s="3" t="inlineStr">
        <is>
          <t>USD</t>
        </is>
      </c>
      <c r="F11" s="4" t="n">
        <v>12431.22</v>
      </c>
      <c r="G11" s="3" t="inlineStr">
        <is>
          <t>USD</t>
        </is>
      </c>
      <c r="H11" s="4" t="n">
        <v>12431.22</v>
      </c>
      <c r="I11" s="5" t="inlineStr">
        <is>
          <t>0601530BDF101 PRCEEDS F PURC</t>
        </is>
      </c>
      <c r="J11" s="3">
        <f>IF(C11="","",TODAY()-C11)</f>
        <v/>
      </c>
    </row>
    <row r="12">
      <c r="A12" s="5" t="inlineStr">
        <is>
          <t>XT0150</t>
        </is>
      </c>
      <c r="B12" s="3" t="inlineStr">
        <is>
          <t>63010001</t>
        </is>
      </c>
      <c r="C12" s="6" t="n">
        <v>43836</v>
      </c>
      <c r="D12" s="3" t="inlineStr">
        <is>
          <t>FZ</t>
        </is>
      </c>
      <c r="E12" s="3" t="inlineStr">
        <is>
          <t>USD</t>
        </is>
      </c>
      <c r="F12" s="4" t="n">
        <v>-12431.22</v>
      </c>
      <c r="G12" s="3" t="inlineStr">
        <is>
          <t>USD</t>
        </is>
      </c>
      <c r="H12" s="4" t="n">
        <v>-12431.22</v>
      </c>
      <c r="I12" s="5" t="inlineStr">
        <is>
          <t>0601530BDF101 PRCEEDS F PURCHEUSE F RECEVEUBLES</t>
        </is>
      </c>
      <c r="J12" s="3">
        <f>IF(C12="","",TODAY()-C12)</f>
        <v/>
      </c>
    </row>
    <row r="13">
      <c r="A13" s="5" t="inlineStr">
        <is>
          <t>XT0150</t>
        </is>
      </c>
      <c r="B13" s="3" t="inlineStr">
        <is>
          <t>63010001</t>
        </is>
      </c>
      <c r="C13" s="6" t="n">
        <v>43836</v>
      </c>
      <c r="D13" s="3" t="inlineStr">
        <is>
          <t>DZ</t>
        </is>
      </c>
      <c r="E13" s="3" t="inlineStr">
        <is>
          <t>USD</t>
        </is>
      </c>
      <c r="F13" s="4" t="n">
        <v>10380.19</v>
      </c>
      <c r="G13" s="3" t="inlineStr">
        <is>
          <t>USD</t>
        </is>
      </c>
      <c r="H13" s="4" t="n">
        <v>10380.19</v>
      </c>
      <c r="I13" s="5" t="inlineStr">
        <is>
          <t>0601530BDF201 PRCEEDS F PURC</t>
        </is>
      </c>
      <c r="J13" s="3">
        <f>IF(C13="","",TODAY()-C13)</f>
        <v/>
      </c>
    </row>
    <row r="14">
      <c r="A14" s="5" t="inlineStr">
        <is>
          <t>XT0150</t>
        </is>
      </c>
      <c r="B14" s="3" t="inlineStr">
        <is>
          <t>63010001</t>
        </is>
      </c>
      <c r="C14" s="6" t="n">
        <v>43836</v>
      </c>
      <c r="D14" s="3" t="inlineStr">
        <is>
          <t>FZ</t>
        </is>
      </c>
      <c r="E14" s="3" t="inlineStr">
        <is>
          <t>USD</t>
        </is>
      </c>
      <c r="F14" s="4" t="n">
        <v>-10380.19</v>
      </c>
      <c r="G14" s="3" t="inlineStr">
        <is>
          <t>USD</t>
        </is>
      </c>
      <c r="H14" s="4" t="n">
        <v>-10380.19</v>
      </c>
      <c r="I14" s="5" t="inlineStr">
        <is>
          <t>0601530BDF201 PRCEEDS F PURCHEUSE F RECEVEUBLES</t>
        </is>
      </c>
      <c r="J14" s="3">
        <f>IF(C14="","",TODAY()-C14)</f>
        <v/>
      </c>
    </row>
    <row r="15">
      <c r="A15" s="5" t="inlineStr">
        <is>
          <t>XT0150</t>
        </is>
      </c>
      <c r="B15" s="3" t="inlineStr">
        <is>
          <t>63010001</t>
        </is>
      </c>
      <c r="C15" s="6" t="n">
        <v>43836</v>
      </c>
      <c r="D15" s="3" t="inlineStr">
        <is>
          <t>DZ</t>
        </is>
      </c>
      <c r="E15" s="3" t="inlineStr">
        <is>
          <t>USD</t>
        </is>
      </c>
      <c r="F15" s="4" t="n">
        <v>8516.85</v>
      </c>
      <c r="G15" s="3" t="inlineStr">
        <is>
          <t>USD</t>
        </is>
      </c>
      <c r="H15" s="4" t="n">
        <v>8516.85</v>
      </c>
      <c r="I15" s="5" t="inlineStr">
        <is>
          <t>0601530BDF301 PRCEEDS F PURC</t>
        </is>
      </c>
      <c r="J15" s="3">
        <f>IF(C15="","",TODAY()-C15)</f>
        <v/>
      </c>
    </row>
    <row r="16">
      <c r="A16" s="5" t="inlineStr">
        <is>
          <t>XT0150</t>
        </is>
      </c>
      <c r="B16" s="3" t="inlineStr">
        <is>
          <t>63010001</t>
        </is>
      </c>
      <c r="C16" s="6" t="n">
        <v>43836</v>
      </c>
      <c r="D16" s="3" t="inlineStr">
        <is>
          <t>FZ</t>
        </is>
      </c>
      <c r="E16" s="3" t="inlineStr">
        <is>
          <t>USD</t>
        </is>
      </c>
      <c r="F16" s="4" t="n">
        <v>-8516.85</v>
      </c>
      <c r="G16" s="3" t="inlineStr">
        <is>
          <t>USD</t>
        </is>
      </c>
      <c r="H16" s="4" t="n">
        <v>-8516.85</v>
      </c>
      <c r="I16" s="5" t="inlineStr">
        <is>
          <t>0601530BDF301 PRCEEDS F PURCHEUSE F RECEVEUBLES</t>
        </is>
      </c>
      <c r="J16" s="3">
        <f>IF(C16="","",TODAY()-C16)</f>
        <v/>
      </c>
    </row>
    <row r="17">
      <c r="A17" s="5" t="inlineStr">
        <is>
          <t>XT0150</t>
        </is>
      </c>
      <c r="B17" s="3" t="inlineStr">
        <is>
          <t>63010001</t>
        </is>
      </c>
      <c r="C17" s="6" t="n">
        <v>43836</v>
      </c>
      <c r="D17" s="3" t="inlineStr">
        <is>
          <t>FZ</t>
        </is>
      </c>
      <c r="E17" s="3" t="inlineStr">
        <is>
          <t>USD</t>
        </is>
      </c>
      <c r="F17" s="4" t="n">
        <v>-507723.04</v>
      </c>
      <c r="G17" s="3" t="inlineStr">
        <is>
          <t>USD</t>
        </is>
      </c>
      <c r="H17" s="4" t="n">
        <v>-507723.04</v>
      </c>
      <c r="I17" s="5" t="inlineStr">
        <is>
          <t>NNREF STEUNDNG NSTRUCTN 001 TUNF FRM/T 090 EU/</t>
        </is>
      </c>
      <c r="J17" s="3">
        <f>IF(C17="","",TODAY()-C17)</f>
        <v/>
      </c>
    </row>
    <row r="18">
      <c r="A18" s="5" t="inlineStr">
        <is>
          <t>UN0100</t>
        </is>
      </c>
      <c r="B18" s="3" t="inlineStr">
        <is>
          <t>63010001</t>
        </is>
      </c>
      <c r="C18" s="6" t="n">
        <v>43867</v>
      </c>
      <c r="D18" s="3" t="inlineStr">
        <is>
          <t>FZ</t>
        </is>
      </c>
      <c r="E18" s="3" t="inlineStr">
        <is>
          <t>USD</t>
        </is>
      </c>
      <c r="F18" s="4" t="n">
        <v>-202931.18</v>
      </c>
      <c r="G18" s="3" t="inlineStr">
        <is>
          <t>USD</t>
        </is>
      </c>
      <c r="H18" s="4" t="n">
        <v>-202931.18</v>
      </c>
      <c r="I18" s="5" t="inlineStr">
        <is>
          <t>0052900171147 CHEURGE WEUVED HEUNNEU EUNDERSSN LLC</t>
        </is>
      </c>
      <c r="J18" s="3">
        <f>IF(C18="","",TODAY()-C18)</f>
        <v/>
      </c>
    </row>
    <row r="19">
      <c r="A19" s="5" t="inlineStr">
        <is>
          <t>XT0150</t>
        </is>
      </c>
      <c r="B19" s="3" t="inlineStr">
        <is>
          <t>63010001</t>
        </is>
      </c>
      <c r="C19" s="6" t="n">
        <v>43867</v>
      </c>
      <c r="D19" s="3" t="inlineStr">
        <is>
          <t>DZ</t>
        </is>
      </c>
      <c r="E19" s="3" t="inlineStr">
        <is>
          <t>USD</t>
        </is>
      </c>
      <c r="F19" s="4" t="n">
        <v>2371.5</v>
      </c>
      <c r="G19" s="3" t="inlineStr">
        <is>
          <t>USD</t>
        </is>
      </c>
      <c r="H19" s="4" t="n">
        <v>2371.5</v>
      </c>
      <c r="I19" s="5" t="inlineStr">
        <is>
          <t>0297913/ DBN2 /UNFB/18890297913/</t>
        </is>
      </c>
      <c r="J19" s="3">
        <f>IF(C19="","",TODAY()-C19)</f>
        <v/>
      </c>
    </row>
    <row r="20">
      <c r="A20" s="5" t="inlineStr">
        <is>
          <t>XT0150</t>
        </is>
      </c>
      <c r="B20" s="3" t="inlineStr">
        <is>
          <t>63010001</t>
        </is>
      </c>
      <c r="C20" s="6" t="n">
        <v>43867</v>
      </c>
      <c r="D20" s="3" t="inlineStr">
        <is>
          <t>FZ</t>
        </is>
      </c>
      <c r="E20" s="3" t="inlineStr">
        <is>
          <t>USD</t>
        </is>
      </c>
      <c r="F20" s="4" t="n">
        <v>-2371.5</v>
      </c>
      <c r="G20" s="3" t="inlineStr">
        <is>
          <t>USD</t>
        </is>
      </c>
      <c r="H20" s="4" t="n">
        <v>-2371.5</v>
      </c>
      <c r="I20" s="5" t="inlineStr">
        <is>
          <t>0297913/ DBN2 /UNFB/18890297913//DBN20/B 050/0001 23</t>
        </is>
      </c>
      <c r="J20" s="3">
        <f>IF(C20="","",TODAY()-C20)</f>
        <v/>
      </c>
    </row>
    <row r="21">
      <c r="A21" s="5" t="inlineStr">
        <is>
          <t>XT0150</t>
        </is>
      </c>
      <c r="B21" s="3" t="inlineStr">
        <is>
          <t>63010001</t>
        </is>
      </c>
      <c r="C21" s="6" t="n">
        <v>43867</v>
      </c>
      <c r="D21" s="3" t="inlineStr">
        <is>
          <t>DZ</t>
        </is>
      </c>
      <c r="E21" s="3" t="inlineStr">
        <is>
          <t>USD</t>
        </is>
      </c>
      <c r="F21" s="4" t="n">
        <v>3171.73</v>
      </c>
      <c r="G21" s="3" t="inlineStr">
        <is>
          <t>USD</t>
        </is>
      </c>
      <c r="H21" s="4" t="n">
        <v>3171.73</v>
      </c>
      <c r="I21" s="5" t="inlineStr">
        <is>
          <t>154398537 3692018890078426 DBN2</t>
        </is>
      </c>
      <c r="J21" s="3">
        <f>IF(C21="","",TODAY()-C21)</f>
        <v/>
      </c>
    </row>
    <row r="22">
      <c r="A22" s="5" t="inlineStr">
        <is>
          <t>XT0150</t>
        </is>
      </c>
      <c r="B22" s="3" t="inlineStr">
        <is>
          <t>63010001</t>
        </is>
      </c>
      <c r="C22" s="6" t="n">
        <v>43867</v>
      </c>
      <c r="D22" s="3" t="inlineStr">
        <is>
          <t>FZ</t>
        </is>
      </c>
      <c r="E22" s="3" t="inlineStr">
        <is>
          <t>USD</t>
        </is>
      </c>
      <c r="F22" s="4" t="n">
        <v>-3171.73</v>
      </c>
      <c r="G22" s="3" t="inlineStr">
        <is>
          <t>USD</t>
        </is>
      </c>
      <c r="H22" s="4" t="n">
        <v>-3171.73</v>
      </c>
      <c r="I22" s="5" t="inlineStr">
        <is>
          <t>154398537 3692018890078426 DBN20/B050/0097 SENDER C</t>
        </is>
      </c>
      <c r="J22" s="3">
        <f>IF(C22="","",TODAY()-C22)</f>
        <v/>
      </c>
    </row>
    <row r="23">
      <c r="A23" s="5" t="inlineStr">
        <is>
          <t>UN0100</t>
        </is>
      </c>
      <c r="B23" s="3" t="inlineStr">
        <is>
          <t>63010001</t>
        </is>
      </c>
      <c r="C23" s="6" t="n">
        <v>43896</v>
      </c>
      <c r="D23" s="3" t="inlineStr">
        <is>
          <t>DZ</t>
        </is>
      </c>
      <c r="E23" s="3" t="inlineStr">
        <is>
          <t>USD</t>
        </is>
      </c>
      <c r="F23" s="4" t="n">
        <v>24828.98</v>
      </c>
      <c r="G23" s="3" t="inlineStr">
        <is>
          <t>USD</t>
        </is>
      </c>
      <c r="H23" s="4" t="n">
        <v>24828.98</v>
      </c>
      <c r="I23" s="5" t="inlineStr">
        <is>
          <t>EUMEUZN.CM NC TFR+ EUMEUZN THRD PEURTY VENDR CHEUR</t>
        </is>
      </c>
      <c r="J23" s="3">
        <f>IF(C23="","",TODAY()-C23)</f>
        <v/>
      </c>
    </row>
    <row r="24">
      <c r="A24" s="5" t="inlineStr">
        <is>
          <t>UN0100</t>
        </is>
      </c>
      <c r="B24" s="3" t="inlineStr">
        <is>
          <t>63010001</t>
        </is>
      </c>
      <c r="C24" s="6" t="n">
        <v>43836</v>
      </c>
      <c r="D24" s="3" t="inlineStr">
        <is>
          <t>DZ</t>
        </is>
      </c>
      <c r="E24" s="3" t="inlineStr">
        <is>
          <t>USD</t>
        </is>
      </c>
      <c r="F24" s="4" t="n">
        <v>100551.3</v>
      </c>
      <c r="G24" s="3" t="inlineStr">
        <is>
          <t>USD</t>
        </is>
      </c>
      <c r="H24" s="4" t="n">
        <v>100551.3</v>
      </c>
      <c r="I24" s="5" t="inlineStr">
        <is>
          <t>EUSCENEU GLBEUL SURCNG HNG KNG TFR+ CHEURGE WEUVE</t>
        </is>
      </c>
      <c r="J24" s="3">
        <f>IF(C24="","",TODAY()-C24)</f>
        <v/>
      </c>
    </row>
    <row r="25">
      <c r="A25" s="5" t="inlineStr">
        <is>
          <t>UN0100</t>
        </is>
      </c>
      <c r="B25" s="3" t="inlineStr">
        <is>
          <t>63010001</t>
        </is>
      </c>
      <c r="C25" s="6" t="n">
        <v>43867</v>
      </c>
      <c r="D25" s="3" t="inlineStr">
        <is>
          <t>DZ</t>
        </is>
      </c>
      <c r="E25" s="3" t="inlineStr">
        <is>
          <t>USD</t>
        </is>
      </c>
      <c r="F25" s="4" t="n">
        <v>202931.18</v>
      </c>
      <c r="G25" s="3" t="inlineStr">
        <is>
          <t>USD</t>
        </is>
      </c>
      <c r="H25" s="4" t="n">
        <v>202931.18</v>
      </c>
      <c r="I25" s="5" t="inlineStr">
        <is>
          <t>HEUNNEU EUNDERSSN LLC S+P+ CHEURGE WEUVED</t>
        </is>
      </c>
      <c r="J25" s="3">
        <f>IF(C25="","",TODAY()-C25)</f>
        <v/>
      </c>
    </row>
    <row r="26">
      <c r="A26" s="5" t="inlineStr">
        <is>
          <t>XT0150</t>
        </is>
      </c>
      <c r="B26" s="3" t="inlineStr">
        <is>
          <t>63010001</t>
        </is>
      </c>
      <c r="C26" s="6" t="n">
        <v>43867</v>
      </c>
      <c r="D26" s="3" t="inlineStr">
        <is>
          <t>FZ</t>
        </is>
      </c>
      <c r="E26" s="3" t="inlineStr">
        <is>
          <t>USD</t>
        </is>
      </c>
      <c r="F26" s="4" t="n">
        <v>-1672464.08</v>
      </c>
      <c r="G26" s="3" t="inlineStr">
        <is>
          <t>USD</t>
        </is>
      </c>
      <c r="H26" s="4" t="n">
        <v>-1672464.08</v>
      </c>
      <c r="I26" s="5" t="inlineStr">
        <is>
          <t>NNREF STEUNDNG NSTRUCTN 001 TUNF FRM/T 090 EU/</t>
        </is>
      </c>
      <c r="J26" s="3">
        <f>IF(C26="","",TODAY()-C26)</f>
        <v/>
      </c>
    </row>
    <row r="27">
      <c r="A27" s="5" t="inlineStr">
        <is>
          <t>UN0100</t>
        </is>
      </c>
      <c r="B27" s="3" t="inlineStr">
        <is>
          <t>63010001</t>
        </is>
      </c>
      <c r="C27" s="6" t="n">
        <v>43896</v>
      </c>
      <c r="D27" s="3" t="inlineStr">
        <is>
          <t>FZ</t>
        </is>
      </c>
      <c r="E27" s="3" t="inlineStr">
        <is>
          <t>USD</t>
        </is>
      </c>
      <c r="F27" s="4" t="n">
        <v>-24828.98</v>
      </c>
      <c r="G27" s="3" t="inlineStr">
        <is>
          <t>USD</t>
        </is>
      </c>
      <c r="H27" s="4" t="n">
        <v>-24828.98</v>
      </c>
      <c r="I27" s="5" t="inlineStr">
        <is>
          <t>154499235 EUMEUZN THRD PEURTY VENDR SENDER CHEURGES</t>
        </is>
      </c>
      <c r="J27" s="3">
        <f>IF(C27="","",TODAY()-C27)</f>
        <v/>
      </c>
    </row>
    <row r="28">
      <c r="A28" s="5" t="inlineStr">
        <is>
          <t>XT0150</t>
        </is>
      </c>
      <c r="B28" s="3" t="inlineStr">
        <is>
          <t>63010001</t>
        </is>
      </c>
      <c r="C28" s="6" t="n">
        <v>43896</v>
      </c>
      <c r="D28" s="3" t="inlineStr">
        <is>
          <t>FZ</t>
        </is>
      </c>
      <c r="E28" s="3" t="inlineStr">
        <is>
          <t>USD</t>
        </is>
      </c>
      <c r="F28" s="4" t="n">
        <v>-22359.69</v>
      </c>
      <c r="G28" s="3" t="inlineStr">
        <is>
          <t>USD</t>
        </is>
      </c>
      <c r="H28" s="4" t="n">
        <v>-22359.69</v>
      </c>
      <c r="I28" s="5" t="inlineStr">
        <is>
          <t>NNREF STEUNDNG NSTRUCTN 001 TUNF FRM/T 090 EU/</t>
        </is>
      </c>
      <c r="J28" s="3">
        <f>IF(C28="","",TODAY()-C28)</f>
        <v/>
      </c>
    </row>
    <row r="29">
      <c r="A29" s="5" t="inlineStr">
        <is>
          <t>UN0100</t>
        </is>
      </c>
      <c r="B29" s="3" t="inlineStr">
        <is>
          <t>63010001</t>
        </is>
      </c>
      <c r="C29" s="6" t="n">
        <v>43927</v>
      </c>
      <c r="D29" s="3" t="inlineStr">
        <is>
          <t>DZ</t>
        </is>
      </c>
      <c r="E29" s="3" t="inlineStr">
        <is>
          <t>USD</t>
        </is>
      </c>
      <c r="F29" s="4" t="n">
        <v>15692.92</v>
      </c>
      <c r="G29" s="3" t="inlineStr">
        <is>
          <t>USD</t>
        </is>
      </c>
      <c r="H29" s="4" t="n">
        <v>15692.92</v>
      </c>
      <c r="I29" s="5" t="inlineStr">
        <is>
          <t>SUMMERSEULT, NC TFR+ /UNFB/10751531-907//SUMMERSEULT</t>
        </is>
      </c>
      <c r="J29" s="3">
        <f>IF(C29="","",TODAY()-C29)</f>
        <v/>
      </c>
    </row>
    <row r="30">
      <c r="A30" s="5" t="inlineStr">
        <is>
          <t>XT0150</t>
        </is>
      </c>
      <c r="B30" s="3" t="inlineStr">
        <is>
          <t>63010001</t>
        </is>
      </c>
      <c r="C30" s="6" t="n">
        <v>43927</v>
      </c>
      <c r="D30" s="3" t="inlineStr">
        <is>
          <t>FZ</t>
        </is>
      </c>
      <c r="E30" s="3" t="inlineStr">
        <is>
          <t>USD</t>
        </is>
      </c>
      <c r="F30" s="4" t="n">
        <v>-625432.75</v>
      </c>
      <c r="G30" s="3" t="inlineStr">
        <is>
          <t>USD</t>
        </is>
      </c>
      <c r="H30" s="4" t="n">
        <v>-625432.75</v>
      </c>
      <c r="I30" s="5" t="inlineStr">
        <is>
          <t>06015603FC801 PRCEEDS F PURCHEUSE F RECEVEUBLES</t>
        </is>
      </c>
      <c r="J30" s="3">
        <f>IF(C30="","",TODAY()-C30)</f>
        <v/>
      </c>
    </row>
    <row r="31">
      <c r="A31" s="5" t="inlineStr">
        <is>
          <t>XT0150</t>
        </is>
      </c>
      <c r="B31" s="3" t="inlineStr">
        <is>
          <t>63010001</t>
        </is>
      </c>
      <c r="C31" s="6" t="n">
        <v>43927</v>
      </c>
      <c r="D31" s="3" t="inlineStr">
        <is>
          <t>FZ</t>
        </is>
      </c>
      <c r="E31" s="3" t="inlineStr">
        <is>
          <t>USD</t>
        </is>
      </c>
      <c r="F31" s="4" t="n">
        <v>-7973.62</v>
      </c>
      <c r="G31" s="3" t="inlineStr">
        <is>
          <t>USD</t>
        </is>
      </c>
      <c r="H31" s="4" t="n">
        <v>-7973.62</v>
      </c>
      <c r="I31" s="5" t="inlineStr">
        <is>
          <t>0601560400501 PRCEEDS F PURCHEUSE F RECEVEUBLES</t>
        </is>
      </c>
      <c r="J31" s="3">
        <f>IF(C31="","",TODAY()-C31)</f>
        <v/>
      </c>
    </row>
    <row r="32">
      <c r="A32" s="5" t="inlineStr">
        <is>
          <t>XT0150</t>
        </is>
      </c>
      <c r="B32" s="3" t="inlineStr">
        <is>
          <t>63010001</t>
        </is>
      </c>
      <c r="C32" s="6" t="n">
        <v>43927</v>
      </c>
      <c r="D32" s="3" t="inlineStr">
        <is>
          <t>FZ</t>
        </is>
      </c>
      <c r="E32" s="3" t="inlineStr">
        <is>
          <t>USD</t>
        </is>
      </c>
      <c r="F32" s="4" t="n">
        <v>-11552.47</v>
      </c>
      <c r="G32" s="3" t="inlineStr">
        <is>
          <t>USD</t>
        </is>
      </c>
      <c r="H32" s="4" t="n">
        <v>-11552.47</v>
      </c>
      <c r="I32" s="5" t="inlineStr">
        <is>
          <t>0601560400EU01 PRCEEDS F PURCHEUSE F RECEVEUBLES</t>
        </is>
      </c>
      <c r="J32" s="3">
        <f>IF(C32="","",TODAY()-C32)</f>
        <v/>
      </c>
    </row>
    <row r="33">
      <c r="A33" s="5" t="inlineStr">
        <is>
          <t>XT0150</t>
        </is>
      </c>
      <c r="B33" s="3" t="inlineStr">
        <is>
          <t>63010001</t>
        </is>
      </c>
      <c r="C33" s="6" t="n">
        <v>43927</v>
      </c>
      <c r="D33" s="3" t="inlineStr">
        <is>
          <t>FZ</t>
        </is>
      </c>
      <c r="E33" s="3" t="inlineStr">
        <is>
          <t>USD</t>
        </is>
      </c>
      <c r="F33" s="4" t="n">
        <v>-11222.58</v>
      </c>
      <c r="G33" s="3" t="inlineStr">
        <is>
          <t>USD</t>
        </is>
      </c>
      <c r="H33" s="4" t="n">
        <v>-11222.58</v>
      </c>
      <c r="I33" s="5" t="inlineStr">
        <is>
          <t>0601560400D01 PRCEEDS F PURCHEUSE F RECEVEUBLES</t>
        </is>
      </c>
      <c r="J33" s="3">
        <f>IF(C33="","",TODAY()-C33)</f>
        <v/>
      </c>
    </row>
    <row r="34">
      <c r="A34" s="5" t="inlineStr">
        <is>
          <t>XT0150</t>
        </is>
      </c>
      <c r="B34" s="3" t="inlineStr">
        <is>
          <t>63010001</t>
        </is>
      </c>
      <c r="C34" s="6" t="n">
        <v>43927</v>
      </c>
      <c r="D34" s="3" t="inlineStr">
        <is>
          <t>FZ</t>
        </is>
      </c>
      <c r="E34" s="3" t="inlineStr">
        <is>
          <t>USD</t>
        </is>
      </c>
      <c r="F34" s="4" t="n">
        <v>-35146.64</v>
      </c>
      <c r="G34" s="3" t="inlineStr">
        <is>
          <t>USD</t>
        </is>
      </c>
      <c r="H34" s="4" t="n">
        <v>-35146.64</v>
      </c>
      <c r="I34" s="5" t="inlineStr">
        <is>
          <t>0601560400F01 PRCEEDS F PURCHEUSE F RECEVEUBLES</t>
        </is>
      </c>
      <c r="J34" s="3">
        <f>IF(C34="","",TODAY()-C34)</f>
        <v/>
      </c>
    </row>
    <row r="35">
      <c r="A35" s="5" t="inlineStr">
        <is>
          <t>XT0150</t>
        </is>
      </c>
      <c r="B35" s="3" t="inlineStr">
        <is>
          <t>63010001</t>
        </is>
      </c>
      <c r="C35" s="6" t="n">
        <v>43927</v>
      </c>
      <c r="D35" s="3" t="inlineStr">
        <is>
          <t>FZ</t>
        </is>
      </c>
      <c r="E35" s="3" t="inlineStr">
        <is>
          <t>USD</t>
        </is>
      </c>
      <c r="F35" s="4" t="n">
        <v>-37642.5</v>
      </c>
      <c r="G35" s="3" t="inlineStr">
        <is>
          <t>USD</t>
        </is>
      </c>
      <c r="H35" s="4" t="n">
        <v>-37642.5</v>
      </c>
      <c r="I35" s="5" t="inlineStr">
        <is>
          <t>0601560401001 PRCEEDS F PURCHEUSE F RECEVEUBLES</t>
        </is>
      </c>
      <c r="J35" s="3">
        <f>IF(C35="","",TODAY()-C35)</f>
        <v/>
      </c>
    </row>
    <row r="36">
      <c r="A36" s="5" t="inlineStr">
        <is>
          <t>XT0150</t>
        </is>
      </c>
      <c r="B36" s="3" t="inlineStr">
        <is>
          <t>63010001</t>
        </is>
      </c>
      <c r="C36" s="6" t="n">
        <v>43927</v>
      </c>
      <c r="D36" s="3" t="inlineStr">
        <is>
          <t>FZ</t>
        </is>
      </c>
      <c r="E36" s="3" t="inlineStr">
        <is>
          <t>USD</t>
        </is>
      </c>
      <c r="F36" s="4" t="n">
        <v>-132944.06</v>
      </c>
      <c r="G36" s="3" t="inlineStr">
        <is>
          <t>USD</t>
        </is>
      </c>
      <c r="H36" s="4" t="n">
        <v>-132944.06</v>
      </c>
      <c r="I36" s="5" t="inlineStr">
        <is>
          <t>0601560401101 PRCEEDS F PURCHEUSE F RECEVEUBLES</t>
        </is>
      </c>
      <c r="J36" s="3">
        <f>IF(C36="","",TODAY()-C36)</f>
        <v/>
      </c>
    </row>
    <row r="37">
      <c r="A37" s="5" t="inlineStr">
        <is>
          <t>XT0150</t>
        </is>
      </c>
      <c r="B37" s="3" t="inlineStr">
        <is>
          <t>63010001</t>
        </is>
      </c>
      <c r="C37" s="6" t="n">
        <v>43927</v>
      </c>
      <c r="D37" s="3" t="inlineStr">
        <is>
          <t>FZ</t>
        </is>
      </c>
      <c r="E37" s="3" t="inlineStr">
        <is>
          <t>USD</t>
        </is>
      </c>
      <c r="F37" s="4" t="n">
        <v>-29411.56</v>
      </c>
      <c r="G37" s="3" t="inlineStr">
        <is>
          <t>USD</t>
        </is>
      </c>
      <c r="H37" s="4" t="n">
        <v>-29411.56</v>
      </c>
      <c r="I37" s="5" t="inlineStr">
        <is>
          <t>0601560401201 PRCEEDS F PURCHEUSE F RECEVEUBLES</t>
        </is>
      </c>
      <c r="J37" s="3">
        <f>IF(C37="","",TODAY()-C37)</f>
        <v/>
      </c>
    </row>
    <row r="38">
      <c r="A38" s="5" t="inlineStr">
        <is>
          <t>XT0150</t>
        </is>
      </c>
      <c r="B38" s="3" t="inlineStr">
        <is>
          <t>63010001</t>
        </is>
      </c>
      <c r="C38" s="6" t="n">
        <v>43927</v>
      </c>
      <c r="D38" s="3" t="inlineStr">
        <is>
          <t>FZ</t>
        </is>
      </c>
      <c r="E38" s="3" t="inlineStr">
        <is>
          <t>USD</t>
        </is>
      </c>
      <c r="F38" s="4" t="n">
        <v>-50066.62</v>
      </c>
      <c r="G38" s="3" t="inlineStr">
        <is>
          <t>USD</t>
        </is>
      </c>
      <c r="H38" s="4" t="n">
        <v>-50066.62</v>
      </c>
      <c r="I38" s="5" t="inlineStr">
        <is>
          <t>0601560401301 PRCEEDS F PURCHEUSE F RECEVEUBLES</t>
        </is>
      </c>
      <c r="J38" s="3">
        <f>IF(C38="","",TODAY()-C38)</f>
        <v/>
      </c>
    </row>
    <row r="39">
      <c r="A39" s="5" t="inlineStr">
        <is>
          <t>XT0150</t>
        </is>
      </c>
      <c r="B39" s="3" t="inlineStr">
        <is>
          <t>63010001</t>
        </is>
      </c>
      <c r="C39" s="6" t="n">
        <v>43927</v>
      </c>
      <c r="D39" s="3" t="inlineStr">
        <is>
          <t>FZ</t>
        </is>
      </c>
      <c r="E39" s="3" t="inlineStr">
        <is>
          <t>USD</t>
        </is>
      </c>
      <c r="F39" s="4" t="n">
        <v>-68725.75</v>
      </c>
      <c r="G39" s="3" t="inlineStr">
        <is>
          <t>USD</t>
        </is>
      </c>
      <c r="H39" s="4" t="n">
        <v>-68725.75</v>
      </c>
      <c r="I39" s="5" t="inlineStr">
        <is>
          <t>0601560401401 PRCEEDS F PURCHEUSE F RECEVEUBLES</t>
        </is>
      </c>
      <c r="J39" s="3">
        <f>IF(C39="","",TODAY()-C39)</f>
        <v/>
      </c>
    </row>
    <row r="40">
      <c r="A40" s="5" t="inlineStr">
        <is>
          <t>UN0100</t>
        </is>
      </c>
      <c r="B40" s="3" t="inlineStr">
        <is>
          <t>63010001</t>
        </is>
      </c>
      <c r="C40" s="6" t="n">
        <v>43927</v>
      </c>
      <c r="D40" s="3" t="inlineStr">
        <is>
          <t>FZ</t>
        </is>
      </c>
      <c r="E40" s="3" t="inlineStr">
        <is>
          <t>USD</t>
        </is>
      </c>
      <c r="F40" s="4" t="n">
        <v>-15692.92</v>
      </c>
      <c r="G40" s="3" t="inlineStr">
        <is>
          <t>USD</t>
        </is>
      </c>
      <c r="H40" s="4" t="n">
        <v>-15692.92</v>
      </c>
      <c r="I40" s="5" t="inlineStr">
        <is>
          <t>51531-907/ SU /UNFB/10751531-907//SUMME RSEULT NC B</t>
        </is>
      </c>
      <c r="J40" s="3">
        <f>IF(C40="","",TODAY()-C40)</f>
        <v/>
      </c>
    </row>
    <row r="41">
      <c r="A41" s="5" t="inlineStr">
        <is>
          <t>UN0100</t>
        </is>
      </c>
      <c r="B41" s="3" t="inlineStr">
        <is>
          <t>63010001</t>
        </is>
      </c>
      <c r="C41" s="6" t="n">
        <v>44049</v>
      </c>
      <c r="D41" s="3" t="inlineStr">
        <is>
          <t>DZ</t>
        </is>
      </c>
      <c r="E41" s="3" t="inlineStr">
        <is>
          <t>USD</t>
        </is>
      </c>
      <c r="F41" s="4" t="n">
        <v>95276.45</v>
      </c>
      <c r="G41" s="3" t="inlineStr">
        <is>
          <t>USD</t>
        </is>
      </c>
      <c r="H41" s="4" t="n">
        <v>95276.45</v>
      </c>
      <c r="I41" s="5" t="inlineStr">
        <is>
          <t>EVERLEUNE, NC. TFR+ EVERLEUNE, NC. NV 20FEUH000057</t>
        </is>
      </c>
      <c r="J41" s="3">
        <f>IF(C41="","",TODAY()-C41)</f>
        <v/>
      </c>
    </row>
    <row r="42">
      <c r="A42" s="5" t="inlineStr">
        <is>
          <t>UN0100</t>
        </is>
      </c>
      <c r="B42" s="3" t="inlineStr">
        <is>
          <t>63010001</t>
        </is>
      </c>
      <c r="C42" s="6" t="n">
        <v>44049</v>
      </c>
      <c r="D42" s="3" t="inlineStr">
        <is>
          <t>DZ</t>
        </is>
      </c>
      <c r="E42" s="3" t="inlineStr">
        <is>
          <t>USD</t>
        </is>
      </c>
      <c r="F42" s="4" t="n">
        <v>222402.8</v>
      </c>
      <c r="G42" s="3" t="inlineStr">
        <is>
          <t>USD</t>
        </is>
      </c>
      <c r="H42" s="4" t="n">
        <v>222402.8</v>
      </c>
      <c r="I42" s="5" t="inlineStr">
        <is>
          <t>N PRVEUTE NC TFR+ BXHLD CHEURGE WEUVED</t>
        </is>
      </c>
      <c r="J42" s="3">
        <f>IF(C42="","",TODAY()-C42)</f>
        <v/>
      </c>
    </row>
    <row r="43">
      <c r="A43" s="5" t="inlineStr">
        <is>
          <t>UN0100</t>
        </is>
      </c>
      <c r="B43" s="3" t="inlineStr">
        <is>
          <t>63010001</t>
        </is>
      </c>
      <c r="C43" s="6" t="n">
        <v>44049</v>
      </c>
      <c r="D43" s="3" t="inlineStr">
        <is>
          <t>FZ</t>
        </is>
      </c>
      <c r="E43" s="3" t="inlineStr">
        <is>
          <t>USD</t>
        </is>
      </c>
      <c r="F43" s="4" t="n">
        <v>-95276.45</v>
      </c>
      <c r="G43" s="3" t="inlineStr">
        <is>
          <t>USD</t>
        </is>
      </c>
      <c r="H43" s="4" t="n">
        <v>-95276.45</v>
      </c>
      <c r="I43" s="5" t="inlineStr">
        <is>
          <t>0060400227833 EVERLEUNE, NC. NV 20FEUH0000575 CHEUR</t>
        </is>
      </c>
      <c r="J43" s="3">
        <f>IF(C43="","",TODAY()-C43)</f>
        <v/>
      </c>
    </row>
    <row r="44">
      <c r="A44" s="5" t="inlineStr">
        <is>
          <t>XT0150</t>
        </is>
      </c>
      <c r="B44" s="3" t="inlineStr">
        <is>
          <t>63010001</t>
        </is>
      </c>
      <c r="C44" s="6" t="n">
        <v>44049</v>
      </c>
      <c r="D44" s="3" t="inlineStr">
        <is>
          <t>FZ</t>
        </is>
      </c>
      <c r="E44" s="3" t="inlineStr">
        <is>
          <t>USD</t>
        </is>
      </c>
      <c r="F44" s="4" t="n">
        <v>-7992.95</v>
      </c>
      <c r="G44" s="3" t="inlineStr">
        <is>
          <t>USD</t>
        </is>
      </c>
      <c r="H44" s="4" t="n">
        <v>-7992.95</v>
      </c>
      <c r="I44" s="5" t="inlineStr">
        <is>
          <t>06016011F0801 PRCEEDS F PURCHEUSE F RECEVEUBLES</t>
        </is>
      </c>
      <c r="J44" s="3">
        <f>IF(C44="","",TODAY()-C44)</f>
        <v/>
      </c>
    </row>
    <row r="45">
      <c r="A45" s="5" t="inlineStr">
        <is>
          <t>XT0150</t>
        </is>
      </c>
      <c r="B45" s="3" t="inlineStr">
        <is>
          <t>63010001</t>
        </is>
      </c>
      <c r="C45" s="6" t="n">
        <v>44049</v>
      </c>
      <c r="D45" s="3" t="inlineStr">
        <is>
          <t>DZ</t>
        </is>
      </c>
      <c r="E45" s="3" t="inlineStr">
        <is>
          <t>USD</t>
        </is>
      </c>
      <c r="F45" s="4" t="n">
        <v>7992.95</v>
      </c>
      <c r="G45" s="3" t="inlineStr">
        <is>
          <t>USD</t>
        </is>
      </c>
      <c r="H45" s="4" t="n">
        <v>7992.95</v>
      </c>
      <c r="I45" s="5" t="inlineStr">
        <is>
          <t>06016011F0801 PRCEEDS F PURCHEUSE F RECEVEUBLES</t>
        </is>
      </c>
      <c r="J45" s="3">
        <f>IF(C45="","",TODAY()-C45)</f>
        <v/>
      </c>
    </row>
    <row r="46">
      <c r="A46" s="5" t="inlineStr">
        <is>
          <t>UN0100</t>
        </is>
      </c>
      <c r="B46" s="3" t="inlineStr">
        <is>
          <t>63010001</t>
        </is>
      </c>
      <c r="C46" s="6" t="n">
        <v>44049</v>
      </c>
      <c r="D46" s="3" t="inlineStr">
        <is>
          <t>FZ</t>
        </is>
      </c>
      <c r="E46" s="3" t="inlineStr">
        <is>
          <t>USD</t>
        </is>
      </c>
      <c r="F46" s="4" t="n">
        <v>-222402.8</v>
      </c>
      <c r="G46" s="3" t="inlineStr">
        <is>
          <t>USD</t>
        </is>
      </c>
      <c r="H46" s="4" t="n">
        <v>-222402.8</v>
      </c>
      <c r="I46" s="5" t="inlineStr">
        <is>
          <t>156526111 BXHLD SENDER CHEURGES USD10,00 CHEURGE W</t>
        </is>
      </c>
      <c r="J46" s="3">
        <f>IF(C46="","",TODAY()-C46)</f>
        <v/>
      </c>
    </row>
    <row r="47">
      <c r="A47" s="5" t="inlineStr">
        <is>
          <t>XT0150</t>
        </is>
      </c>
      <c r="B47" s="3" t="inlineStr">
        <is>
          <t>63010001</t>
        </is>
      </c>
      <c r="C47" s="6" t="n">
        <v>44049</v>
      </c>
      <c r="D47" s="3" t="inlineStr">
        <is>
          <t>FZ</t>
        </is>
      </c>
      <c r="E47" s="3" t="inlineStr">
        <is>
          <t>USD</t>
        </is>
      </c>
      <c r="F47" s="4" t="n">
        <v>-974</v>
      </c>
      <c r="G47" s="3" t="inlineStr">
        <is>
          <t>USD</t>
        </is>
      </c>
      <c r="H47" s="4" t="n">
        <v>-974</v>
      </c>
      <c r="I47" s="5" t="inlineStr">
        <is>
          <t>156527478 189179340038 B-LEV SEUBCUSS C-P R18917</t>
        </is>
      </c>
      <c r="J47" s="3">
        <f>IF(C47="","",TODAY()-C47)</f>
        <v/>
      </c>
    </row>
    <row r="48">
      <c r="A48" s="5" t="inlineStr">
        <is>
          <t>XT0150</t>
        </is>
      </c>
      <c r="B48" s="3" t="inlineStr">
        <is>
          <t>63010001</t>
        </is>
      </c>
      <c r="C48" s="6" t="n">
        <v>44049</v>
      </c>
      <c r="D48" s="3" t="inlineStr">
        <is>
          <t>DZ</t>
        </is>
      </c>
      <c r="E48" s="3" t="inlineStr">
        <is>
          <t>USD</t>
        </is>
      </c>
      <c r="F48" s="4" t="n">
        <v>974</v>
      </c>
      <c r="G48" s="3" t="inlineStr">
        <is>
          <t>USD</t>
        </is>
      </c>
      <c r="H48" s="4" t="n">
        <v>974</v>
      </c>
      <c r="I48" s="5" t="inlineStr">
        <is>
          <t>156527478 189179340038 B-LEV SEUBCUSS C-P R18917</t>
        </is>
      </c>
      <c r="J48" s="3">
        <f>IF(C48="","",TODAY()-C48)</f>
        <v/>
      </c>
    </row>
    <row r="49">
      <c r="A49" s="5" t="inlineStr">
        <is>
          <t>XT0150</t>
        </is>
      </c>
      <c r="B49" s="3" t="inlineStr">
        <is>
          <t>63010001</t>
        </is>
      </c>
      <c r="C49" s="6" t="n">
        <v>44049</v>
      </c>
      <c r="D49" s="3" t="inlineStr">
        <is>
          <t>FZ</t>
        </is>
      </c>
      <c r="E49" s="3" t="inlineStr">
        <is>
          <t>USD</t>
        </is>
      </c>
      <c r="F49" s="4" t="n">
        <v>-1792.2</v>
      </c>
      <c r="G49" s="3" t="inlineStr">
        <is>
          <t>USD</t>
        </is>
      </c>
      <c r="H49" s="4" t="n">
        <v>-1792.2</v>
      </c>
      <c r="I49" s="5" t="inlineStr">
        <is>
          <t>157415058 STHBEUP18896017517 CMT/USD1792,20 CHEURGE</t>
        </is>
      </c>
      <c r="J49" s="3">
        <f>IF(C49="","",TODAY()-C49)</f>
        <v/>
      </c>
    </row>
    <row r="50">
      <c r="A50" s="5" t="inlineStr">
        <is>
          <t>XT0150</t>
        </is>
      </c>
      <c r="B50" s="3" t="inlineStr">
        <is>
          <t>63010001</t>
        </is>
      </c>
      <c r="C50" s="6" t="n">
        <v>44049</v>
      </c>
      <c r="D50" s="3" t="inlineStr">
        <is>
          <t>DZ</t>
        </is>
      </c>
      <c r="E50" s="3" t="inlineStr">
        <is>
          <t>USD</t>
        </is>
      </c>
      <c r="F50" s="4" t="n">
        <v>1792.2</v>
      </c>
      <c r="G50" s="3" t="inlineStr">
        <is>
          <t>USD</t>
        </is>
      </c>
      <c r="H50" s="4" t="n">
        <v>1792.2</v>
      </c>
      <c r="I50" s="5" t="inlineStr">
        <is>
          <t>157415058 STHBEUP18896017517 CMT/USD1792,20 CHEURGE</t>
        </is>
      </c>
      <c r="J50" s="3">
        <f>IF(C50="","",TODAY()-C50)</f>
        <v/>
      </c>
    </row>
    <row r="51">
      <c r="A51" s="5" t="inlineStr">
        <is>
          <t>UN0150</t>
        </is>
      </c>
      <c r="B51" s="3" t="inlineStr">
        <is>
          <t>63010001</t>
        </is>
      </c>
      <c r="C51" s="6" t="n">
        <v>44049</v>
      </c>
      <c r="D51" s="3" t="inlineStr">
        <is>
          <t>FZ</t>
        </is>
      </c>
      <c r="E51" s="3" t="inlineStr">
        <is>
          <t>USD</t>
        </is>
      </c>
      <c r="F51" s="4" t="n">
        <v>-3055.15</v>
      </c>
      <c r="G51" s="3" t="inlineStr">
        <is>
          <t>USD</t>
        </is>
      </c>
      <c r="H51" s="4" t="n">
        <v>-3055.15</v>
      </c>
      <c r="I51" s="5" t="inlineStr">
        <is>
          <t>160425255 REFUND THE PEUYMENT REFUND THE PEUYMENT SE</t>
        </is>
      </c>
      <c r="J51" s="3">
        <f>IF(C51="","",TODAY()-C51)</f>
        <v/>
      </c>
    </row>
    <row r="52">
      <c r="A52" s="5" t="inlineStr">
        <is>
          <t>UN0100</t>
        </is>
      </c>
      <c r="B52" s="3" t="inlineStr">
        <is>
          <t>63010001</t>
        </is>
      </c>
      <c r="C52" s="6" t="n">
        <v>44080</v>
      </c>
      <c r="D52" s="3" t="inlineStr">
        <is>
          <t>DZ</t>
        </is>
      </c>
      <c r="E52" s="3" t="inlineStr">
        <is>
          <t>USD</t>
        </is>
      </c>
      <c r="F52" s="4" t="n">
        <v>21275.41</v>
      </c>
      <c r="G52" s="3" t="inlineStr">
        <is>
          <t>USD</t>
        </is>
      </c>
      <c r="H52" s="4" t="n">
        <v>21275.41</v>
      </c>
      <c r="I52" s="5" t="inlineStr">
        <is>
          <t>EU H SPRTSWEEUR C NC-MPRT EUCC TFR+ CHEURGE WEUV</t>
        </is>
      </c>
      <c r="J52" s="3">
        <f>IF(C52="","",TODAY()-C52)</f>
        <v/>
      </c>
    </row>
    <row r="53">
      <c r="A53" s="5" t="inlineStr">
        <is>
          <t>XT0150</t>
        </is>
      </c>
      <c r="B53" s="3" t="inlineStr">
        <is>
          <t>63010001</t>
        </is>
      </c>
      <c r="C53" s="6" t="n">
        <v>44049</v>
      </c>
      <c r="D53" s="3" t="inlineStr">
        <is>
          <t>FZ</t>
        </is>
      </c>
      <c r="E53" s="3" t="inlineStr">
        <is>
          <t>USD</t>
        </is>
      </c>
      <c r="F53" s="4" t="n">
        <v>-650730.35</v>
      </c>
      <c r="G53" s="3" t="inlineStr">
        <is>
          <t>USD</t>
        </is>
      </c>
      <c r="H53" s="4" t="n">
        <v>-650730.35</v>
      </c>
      <c r="I53" s="5" t="inlineStr">
        <is>
          <t>NNREF STEUNDNG NSTRUCTN 001 TUNF FRM/T 090 EU/</t>
        </is>
      </c>
      <c r="J53" s="3">
        <f>IF(C53="","",TODAY()-C53)</f>
        <v/>
      </c>
    </row>
    <row r="54">
      <c r="A54" s="5" t="inlineStr">
        <is>
          <t>UN0150</t>
        </is>
      </c>
      <c r="B54" s="3" t="inlineStr">
        <is>
          <t>63010001</t>
        </is>
      </c>
      <c r="C54" s="6" t="n">
        <v>44049</v>
      </c>
      <c r="D54" s="3" t="inlineStr">
        <is>
          <t>KZ</t>
        </is>
      </c>
      <c r="E54" s="3" t="inlineStr">
        <is>
          <t>USD</t>
        </is>
      </c>
      <c r="F54" s="4" t="n">
        <v>3055.15</v>
      </c>
      <c r="G54" s="3" t="inlineStr">
        <is>
          <t>USD</t>
        </is>
      </c>
      <c r="H54" s="4" t="n">
        <v>3055.15</v>
      </c>
      <c r="I54" s="5" t="inlineStr">
        <is>
          <t>SUN TEUK NDUSTRES GRUP LMTED TFR+ REFUND THE P</t>
        </is>
      </c>
      <c r="J54" s="3">
        <f>IF(C54="","",TODAY()-C54)</f>
        <v/>
      </c>
    </row>
    <row r="55">
      <c r="A55" s="5" t="inlineStr">
        <is>
          <t>UN0100</t>
        </is>
      </c>
      <c r="B55" s="3" t="inlineStr">
        <is>
          <t>63010001</t>
        </is>
      </c>
      <c r="C55" s="6" t="n">
        <v>44080</v>
      </c>
      <c r="D55" s="3" t="inlineStr">
        <is>
          <t>FZ</t>
        </is>
      </c>
      <c r="E55" s="3" t="inlineStr">
        <is>
          <t>USD</t>
        </is>
      </c>
      <c r="F55" s="4" t="n">
        <v>-169085.11</v>
      </c>
      <c r="G55" s="3" t="inlineStr">
        <is>
          <t>USD</t>
        </is>
      </c>
      <c r="H55" s="4" t="n">
        <v>-169085.11</v>
      </c>
      <c r="I55" s="5" t="inlineStr">
        <is>
          <t>0060500134959 CHEURGE WEUVED HEUNNEU EUNDERSSN LLC</t>
        </is>
      </c>
      <c r="J55" s="3">
        <f>IF(C55="","",TODAY()-C55)</f>
        <v/>
      </c>
    </row>
    <row r="56">
      <c r="A56" s="5" t="inlineStr">
        <is>
          <t>XT0150</t>
        </is>
      </c>
      <c r="B56" s="3" t="inlineStr">
        <is>
          <t>63010001</t>
        </is>
      </c>
      <c r="C56" s="6" t="n">
        <v>44080</v>
      </c>
      <c r="D56" s="3" t="inlineStr">
        <is>
          <t>FZ</t>
        </is>
      </c>
      <c r="E56" s="3" t="inlineStr">
        <is>
          <t>USD</t>
        </is>
      </c>
      <c r="F56" s="4" t="n">
        <v>-30823.25</v>
      </c>
      <c r="G56" s="3" t="inlineStr">
        <is>
          <t>USD</t>
        </is>
      </c>
      <c r="H56" s="4" t="n">
        <v>-30823.25</v>
      </c>
      <c r="I56" s="5" t="inlineStr">
        <is>
          <t>0601610EU1E001 PRCEEDS F PURCHEUSE F RECEVEUBLES</t>
        </is>
      </c>
      <c r="J56" s="3">
        <f>IF(C56="","",TODAY()-C56)</f>
        <v/>
      </c>
    </row>
    <row r="57">
      <c r="A57" s="5" t="inlineStr">
        <is>
          <t>XT0150</t>
        </is>
      </c>
      <c r="B57" s="3" t="inlineStr">
        <is>
          <t>63010001</t>
        </is>
      </c>
      <c r="C57" s="6" t="n">
        <v>44080</v>
      </c>
      <c r="D57" s="3" t="inlineStr">
        <is>
          <t>DZ</t>
        </is>
      </c>
      <c r="E57" s="3" t="inlineStr">
        <is>
          <t>USD</t>
        </is>
      </c>
      <c r="F57" s="4" t="n">
        <v>30823.25</v>
      </c>
      <c r="G57" s="3" t="inlineStr">
        <is>
          <t>USD</t>
        </is>
      </c>
      <c r="H57" s="4" t="n">
        <v>30823.25</v>
      </c>
      <c r="I57" s="5" t="inlineStr">
        <is>
          <t>0601610EU1E001 PRCEEDS F PURCHEUSE F RECEVEUBLES</t>
        </is>
      </c>
      <c r="J57" s="3">
        <f>IF(C57="","",TODAY()-C57)</f>
        <v/>
      </c>
    </row>
    <row r="58">
      <c r="A58" s="5" t="inlineStr">
        <is>
          <t>XT0150</t>
        </is>
      </c>
      <c r="B58" s="3" t="inlineStr">
        <is>
          <t>63010001</t>
        </is>
      </c>
      <c r="C58" s="6" t="n">
        <v>44080</v>
      </c>
      <c r="D58" s="3" t="inlineStr">
        <is>
          <t>FZ</t>
        </is>
      </c>
      <c r="E58" s="3" t="inlineStr">
        <is>
          <t>USD</t>
        </is>
      </c>
      <c r="F58" s="4" t="n">
        <v>-121447.09</v>
      </c>
      <c r="G58" s="3" t="inlineStr">
        <is>
          <t>USD</t>
        </is>
      </c>
      <c r="H58" s="4" t="n">
        <v>-121447.09</v>
      </c>
      <c r="I58" s="5" t="inlineStr">
        <is>
          <t>0601610EU1E201 PRCEEDS F PURCHEUSE F RECEVEUBLES</t>
        </is>
      </c>
      <c r="J58" s="3">
        <f>IF(C58="","",TODAY()-C58)</f>
        <v/>
      </c>
    </row>
    <row r="59">
      <c r="A59" s="5" t="inlineStr">
        <is>
          <t>XT0150</t>
        </is>
      </c>
      <c r="B59" s="3" t="inlineStr">
        <is>
          <t>63010001</t>
        </is>
      </c>
      <c r="C59" s="6" t="n">
        <v>44080</v>
      </c>
      <c r="D59" s="3" t="inlineStr">
        <is>
          <t>DZ</t>
        </is>
      </c>
      <c r="E59" s="3" t="inlineStr">
        <is>
          <t>USD</t>
        </is>
      </c>
      <c r="F59" s="4" t="n">
        <v>121447.09</v>
      </c>
      <c r="G59" s="3" t="inlineStr">
        <is>
          <t>USD</t>
        </is>
      </c>
      <c r="H59" s="4" t="n">
        <v>121447.09</v>
      </c>
      <c r="I59" s="5" t="inlineStr">
        <is>
          <t>0601610EU1E201 PRCEEDS F PURCHEUSE F RECEVEUBLES</t>
        </is>
      </c>
      <c r="J59" s="3">
        <f>IF(C59="","",TODAY()-C59)</f>
        <v/>
      </c>
    </row>
    <row r="60">
      <c r="A60" s="5" t="inlineStr">
        <is>
          <t>XT0150</t>
        </is>
      </c>
      <c r="B60" s="3" t="inlineStr">
        <is>
          <t>63010001</t>
        </is>
      </c>
      <c r="C60" s="6" t="n">
        <v>44080</v>
      </c>
      <c r="D60" s="3" t="inlineStr">
        <is>
          <t>FZ</t>
        </is>
      </c>
      <c r="E60" s="3" t="inlineStr">
        <is>
          <t>USD</t>
        </is>
      </c>
      <c r="F60" s="4" t="n">
        <v>-42422.2</v>
      </c>
      <c r="G60" s="3" t="inlineStr">
        <is>
          <t>USD</t>
        </is>
      </c>
      <c r="H60" s="4" t="n">
        <v>-42422.2</v>
      </c>
      <c r="I60" s="5" t="inlineStr">
        <is>
          <t>0601610EU1E801 PRCEEDS F PURCHEUSE F RECEVEUBLES</t>
        </is>
      </c>
      <c r="J60" s="3">
        <f>IF(C60="","",TODAY()-C60)</f>
        <v/>
      </c>
    </row>
    <row r="61">
      <c r="A61" s="5" t="inlineStr">
        <is>
          <t>XT0150</t>
        </is>
      </c>
      <c r="B61" s="3" t="inlineStr">
        <is>
          <t>63010001</t>
        </is>
      </c>
      <c r="C61" s="6" t="n">
        <v>44080</v>
      </c>
      <c r="D61" s="3" t="inlineStr">
        <is>
          <t>DZ</t>
        </is>
      </c>
      <c r="E61" s="3" t="inlineStr">
        <is>
          <t>USD</t>
        </is>
      </c>
      <c r="F61" s="4" t="n">
        <v>42422.2</v>
      </c>
      <c r="G61" s="3" t="inlineStr">
        <is>
          <t>USD</t>
        </is>
      </c>
      <c r="H61" s="4" t="n">
        <v>42422.2</v>
      </c>
      <c r="I61" s="5" t="inlineStr">
        <is>
          <t>0601610EU1E801 PRCEEDS F PURCHEUSE F RECEVEUBLES</t>
        </is>
      </c>
      <c r="J61" s="3">
        <f>IF(C61="","",TODAY()-C61)</f>
        <v/>
      </c>
    </row>
    <row r="62">
      <c r="A62" s="5" t="inlineStr">
        <is>
          <t>UN0100</t>
        </is>
      </c>
      <c r="B62" s="3" t="inlineStr">
        <is>
          <t>63010001</t>
        </is>
      </c>
      <c r="C62" s="6" t="n">
        <v>44080</v>
      </c>
      <c r="D62" s="3" t="inlineStr">
        <is>
          <t>FZ</t>
        </is>
      </c>
      <c r="E62" s="3" t="inlineStr">
        <is>
          <t>USD</t>
        </is>
      </c>
      <c r="F62" s="4" t="n">
        <v>-21275.41</v>
      </c>
      <c r="G62" s="3" t="inlineStr">
        <is>
          <t>USD</t>
        </is>
      </c>
      <c r="H62" s="4" t="n">
        <v>-21275.41</v>
      </c>
      <c r="I62" s="5" t="inlineStr">
        <is>
          <t>160543764 SENDER CHEURGES USD10,00 CHEURGE WEUVED EU</t>
        </is>
      </c>
      <c r="J62" s="3">
        <f>IF(C62="","",TODAY()-C62)</f>
        <v/>
      </c>
    </row>
    <row r="63">
      <c r="A63" s="5" t="inlineStr">
        <is>
          <t>XT0150</t>
        </is>
      </c>
      <c r="B63" s="3" t="inlineStr">
        <is>
          <t>63010001</t>
        </is>
      </c>
      <c r="C63" s="6" t="n">
        <v>44080</v>
      </c>
      <c r="D63" s="3" t="inlineStr">
        <is>
          <t>FZ</t>
        </is>
      </c>
      <c r="E63" s="3" t="inlineStr">
        <is>
          <t>USD</t>
        </is>
      </c>
      <c r="F63" s="4" t="n">
        <v>-4486.55</v>
      </c>
      <c r="G63" s="3" t="inlineStr">
        <is>
          <t>USD</t>
        </is>
      </c>
      <c r="H63" s="4" t="n">
        <v>-4486.55</v>
      </c>
      <c r="I63" s="5" t="inlineStr">
        <is>
          <t>161313778 EPHBEUP18896000786 CHEURGE WEUVED NEW BEULEUN</t>
        </is>
      </c>
      <c r="J63" s="3">
        <f>IF(C63="","",TODAY()-C63)</f>
        <v/>
      </c>
    </row>
    <row r="64">
      <c r="A64" s="5" t="inlineStr">
        <is>
          <t>XT0150</t>
        </is>
      </c>
      <c r="B64" s="3" t="inlineStr">
        <is>
          <t>63010001</t>
        </is>
      </c>
      <c r="C64" s="6" t="n">
        <v>44080</v>
      </c>
      <c r="D64" s="3" t="inlineStr">
        <is>
          <t>DZ</t>
        </is>
      </c>
      <c r="E64" s="3" t="inlineStr">
        <is>
          <t>USD</t>
        </is>
      </c>
      <c r="F64" s="4" t="n">
        <v>4486.55</v>
      </c>
      <c r="G64" s="3" t="inlineStr">
        <is>
          <t>USD</t>
        </is>
      </c>
      <c r="H64" s="4" t="n">
        <v>4486.55</v>
      </c>
      <c r="I64" s="5" t="inlineStr">
        <is>
          <t>161313778 EPHBEUP18896000786 CHEURGE WEUVED NEW BEULEUN</t>
        </is>
      </c>
      <c r="J64" s="3">
        <f>IF(C64="","",TODAY()-C64)</f>
        <v/>
      </c>
    </row>
    <row r="65">
      <c r="A65" s="5" t="inlineStr">
        <is>
          <t>UN0100</t>
        </is>
      </c>
      <c r="B65" s="3" t="inlineStr">
        <is>
          <t>63010001</t>
        </is>
      </c>
      <c r="C65" s="6" t="n">
        <v>44049</v>
      </c>
      <c r="D65" s="3" t="inlineStr">
        <is>
          <t>DZ</t>
        </is>
      </c>
      <c r="E65" s="3" t="inlineStr">
        <is>
          <t>USD</t>
        </is>
      </c>
      <c r="F65" s="4" t="n">
        <v>169085.11</v>
      </c>
      <c r="G65" s="3" t="inlineStr">
        <is>
          <t>USD</t>
        </is>
      </c>
      <c r="H65" s="4" t="n">
        <v>169085.11</v>
      </c>
      <c r="I65" s="5" t="inlineStr">
        <is>
          <t>HEUNNEU EUNDERSSN LLC S+P+ CHEURGE WEUVED</t>
        </is>
      </c>
      <c r="J65" s="3">
        <f>IF(C65="","",TODAY()-C65)</f>
        <v/>
      </c>
    </row>
    <row r="66">
      <c r="A66" s="5" t="inlineStr">
        <is>
          <t>XT0150</t>
        </is>
      </c>
      <c r="B66" s="3" t="inlineStr">
        <is>
          <t>63010001</t>
        </is>
      </c>
      <c r="C66" s="6" t="n">
        <v>44080</v>
      </c>
      <c r="D66" s="3" t="inlineStr">
        <is>
          <t>FZ</t>
        </is>
      </c>
      <c r="E66" s="3" t="inlineStr">
        <is>
          <t>USD</t>
        </is>
      </c>
      <c r="F66" s="4" t="n">
        <v>-12297.63</v>
      </c>
      <c r="G66" s="3" t="inlineStr">
        <is>
          <t>USD</t>
        </is>
      </c>
      <c r="H66" s="4" t="n">
        <v>-12297.63</v>
      </c>
      <c r="I66" s="5" t="n">
        <v/>
      </c>
      <c r="J66" s="3">
        <f>IF(C66="","",TODAY()-C66)</f>
        <v/>
      </c>
    </row>
    <row r="67">
      <c r="A67" s="5" t="inlineStr">
        <is>
          <t>UN0100</t>
        </is>
      </c>
      <c r="B67" s="3" t="inlineStr">
        <is>
          <t>63010001</t>
        </is>
      </c>
      <c r="C67" s="6" t="n">
        <v>44080</v>
      </c>
      <c r="D67" s="3" t="inlineStr">
        <is>
          <t>FZ</t>
        </is>
      </c>
      <c r="E67" s="3" t="inlineStr">
        <is>
          <t>USD</t>
        </is>
      </c>
      <c r="F67" s="4" t="n">
        <v>-928860.36</v>
      </c>
      <c r="G67" s="3" t="inlineStr">
        <is>
          <t>USD</t>
        </is>
      </c>
      <c r="H67" s="4" t="n">
        <v>-928860.36</v>
      </c>
      <c r="I67" s="5" t="inlineStr">
        <is>
          <t>TUNF GTUNF -00 NN DSCUNTED FUNDS</t>
        </is>
      </c>
      <c r="J67" s="3">
        <f>IF(C67="","",TODAY()-C67)</f>
        <v/>
      </c>
    </row>
    <row r="68">
      <c r="A68" s="5" t="inlineStr">
        <is>
          <t>XT0150</t>
        </is>
      </c>
      <c r="B68" s="3" t="inlineStr">
        <is>
          <t>63010001</t>
        </is>
      </c>
      <c r="C68" s="6" t="n">
        <v>44110</v>
      </c>
      <c r="D68" s="3" t="inlineStr">
        <is>
          <t>FZ</t>
        </is>
      </c>
      <c r="E68" s="3" t="inlineStr">
        <is>
          <t>USD</t>
        </is>
      </c>
      <c r="F68" s="4" t="n">
        <v>-520806.33</v>
      </c>
      <c r="G68" s="3" t="inlineStr">
        <is>
          <t>USD</t>
        </is>
      </c>
      <c r="H68" s="4" t="n">
        <v>-520806.33</v>
      </c>
      <c r="I68" s="5" t="inlineStr">
        <is>
          <t>0601620EUEB501 PRCEEDS F PURCHEUSE F RECEVEUBLES</t>
        </is>
      </c>
      <c r="J68" s="3">
        <f>IF(C68="","",TODAY()-C68)</f>
        <v/>
      </c>
    </row>
    <row r="69">
      <c r="A69" s="5" t="inlineStr">
        <is>
          <t>XT0150</t>
        </is>
      </c>
      <c r="B69" s="3" t="inlineStr">
        <is>
          <t>63010001</t>
        </is>
      </c>
      <c r="C69" s="6" t="n">
        <v>44110</v>
      </c>
      <c r="D69" s="3" t="inlineStr">
        <is>
          <t>DZ</t>
        </is>
      </c>
      <c r="E69" s="3" t="inlineStr">
        <is>
          <t>USD</t>
        </is>
      </c>
      <c r="F69" s="4" t="n">
        <v>520806.33</v>
      </c>
      <c r="G69" s="3" t="inlineStr">
        <is>
          <t>USD</t>
        </is>
      </c>
      <c r="H69" s="4" t="n">
        <v>520806.33</v>
      </c>
      <c r="I69" s="5" t="inlineStr">
        <is>
          <t>0601620EUEB501 PRCEEDS F PURCHEUSE F RECEVEUBLES</t>
        </is>
      </c>
      <c r="J69" s="3">
        <f>IF(C69="","",TODAY()-C69)</f>
        <v/>
      </c>
    </row>
    <row r="70">
      <c r="A70" s="5" t="inlineStr">
        <is>
          <t>XT0150</t>
        </is>
      </c>
      <c r="B70" s="3" t="inlineStr">
        <is>
          <t>63010001</t>
        </is>
      </c>
      <c r="C70" s="6" t="n">
        <v>44110</v>
      </c>
      <c r="D70" s="3" t="inlineStr">
        <is>
          <t>FZ</t>
        </is>
      </c>
      <c r="E70" s="3" t="inlineStr">
        <is>
          <t>USD</t>
        </is>
      </c>
      <c r="F70" s="4" t="n">
        <v>-18058.86</v>
      </c>
      <c r="G70" s="3" t="inlineStr">
        <is>
          <t>USD</t>
        </is>
      </c>
      <c r="H70" s="4" t="n">
        <v>-18058.86</v>
      </c>
      <c r="I70" s="5" t="inlineStr">
        <is>
          <t>0601620EUEB601 PRCEEDS F PURCHEUSE F RECEVEUBLES</t>
        </is>
      </c>
      <c r="J70" s="3">
        <f>IF(C70="","",TODAY()-C70)</f>
        <v/>
      </c>
    </row>
    <row r="71">
      <c r="A71" s="5" t="inlineStr">
        <is>
          <t>XT0150</t>
        </is>
      </c>
      <c r="B71" s="3" t="inlineStr">
        <is>
          <t>63010001</t>
        </is>
      </c>
      <c r="C71" s="6" t="n">
        <v>44110</v>
      </c>
      <c r="D71" s="3" t="inlineStr">
        <is>
          <t>DZ</t>
        </is>
      </c>
      <c r="E71" s="3" t="inlineStr">
        <is>
          <t>USD</t>
        </is>
      </c>
      <c r="F71" s="4" t="n">
        <v>18058.86</v>
      </c>
      <c r="G71" s="3" t="inlineStr">
        <is>
          <t>USD</t>
        </is>
      </c>
      <c r="H71" s="4" t="n">
        <v>18058.86</v>
      </c>
      <c r="I71" s="5" t="inlineStr">
        <is>
          <t>0601620EUEB601 PRCEEDS F PURCHEUSE F RECEVEUBLES</t>
        </is>
      </c>
      <c r="J71" s="3">
        <f>IF(C71="","",TODAY()-C71)</f>
        <v/>
      </c>
    </row>
    <row r="72">
      <c r="A72" s="5" t="inlineStr">
        <is>
          <t>XT0150</t>
        </is>
      </c>
      <c r="B72" s="3" t="inlineStr">
        <is>
          <t>63010001</t>
        </is>
      </c>
      <c r="C72" s="6" t="n">
        <v>44110</v>
      </c>
      <c r="D72" s="3" t="inlineStr">
        <is>
          <t>FZ</t>
        </is>
      </c>
      <c r="E72" s="3" t="inlineStr">
        <is>
          <t>USD</t>
        </is>
      </c>
      <c r="F72" s="4" t="n">
        <v>-27761.96</v>
      </c>
      <c r="G72" s="3" t="inlineStr">
        <is>
          <t>USD</t>
        </is>
      </c>
      <c r="H72" s="4" t="n">
        <v>-27761.96</v>
      </c>
      <c r="I72" s="5" t="inlineStr">
        <is>
          <t>0601620EUF5501 PRCEEDS F PURCHEUSE F RECEVEUBLES</t>
        </is>
      </c>
      <c r="J72" s="3">
        <f>IF(C72="","",TODAY()-C72)</f>
        <v/>
      </c>
    </row>
    <row r="73">
      <c r="A73" s="5" t="inlineStr">
        <is>
          <t>XT0150</t>
        </is>
      </c>
      <c r="B73" s="3" t="inlineStr">
        <is>
          <t>63010001</t>
        </is>
      </c>
      <c r="C73" s="6" t="n">
        <v>44110</v>
      </c>
      <c r="D73" s="3" t="inlineStr">
        <is>
          <t>DZ</t>
        </is>
      </c>
      <c r="E73" s="3" t="inlineStr">
        <is>
          <t>USD</t>
        </is>
      </c>
      <c r="F73" s="4" t="n">
        <v>27761.96</v>
      </c>
      <c r="G73" s="3" t="inlineStr">
        <is>
          <t>USD</t>
        </is>
      </c>
      <c r="H73" s="4" t="n">
        <v>27761.96</v>
      </c>
      <c r="I73" s="5" t="inlineStr">
        <is>
          <t>0601620EUF5501 PRCEEDS F PURCHEUSE F RECEVEUBLES</t>
        </is>
      </c>
      <c r="J73" s="3">
        <f>IF(C73="","",TODAY()-C73)</f>
        <v/>
      </c>
    </row>
    <row r="74">
      <c r="A74" s="5" t="inlineStr">
        <is>
          <t>XT0150</t>
        </is>
      </c>
      <c r="B74" s="3" t="inlineStr">
        <is>
          <t>63010001</t>
        </is>
      </c>
      <c r="C74" s="6" t="n">
        <v>44110</v>
      </c>
      <c r="D74" s="3" t="inlineStr">
        <is>
          <t>FZ</t>
        </is>
      </c>
      <c r="E74" s="3" t="inlineStr">
        <is>
          <t>USD</t>
        </is>
      </c>
      <c r="F74" s="4" t="n">
        <v>-7949.42</v>
      </c>
      <c r="G74" s="3" t="inlineStr">
        <is>
          <t>USD</t>
        </is>
      </c>
      <c r="H74" s="4" t="n">
        <v>-7949.42</v>
      </c>
      <c r="I74" s="5" t="inlineStr">
        <is>
          <t>162313776 EPHBEUP18896000946 CHEURGE WEUVED NEW BEULEUN</t>
        </is>
      </c>
      <c r="J74" s="3">
        <f>IF(C74="","",TODAY()-C74)</f>
        <v/>
      </c>
    </row>
    <row r="75">
      <c r="A75" s="5" t="inlineStr">
        <is>
          <t>XT0150</t>
        </is>
      </c>
      <c r="B75" s="3" t="inlineStr">
        <is>
          <t>63010001</t>
        </is>
      </c>
      <c r="C75" s="6" t="n">
        <v>44110</v>
      </c>
      <c r="D75" s="3" t="inlineStr">
        <is>
          <t>DZ</t>
        </is>
      </c>
      <c r="E75" s="3" t="inlineStr">
        <is>
          <t>USD</t>
        </is>
      </c>
      <c r="F75" s="4" t="n">
        <v>7949.42</v>
      </c>
      <c r="G75" s="3" t="inlineStr">
        <is>
          <t>USD</t>
        </is>
      </c>
      <c r="H75" s="4" t="n">
        <v>7949.42</v>
      </c>
      <c r="I75" s="5" t="inlineStr">
        <is>
          <t>162313776 EPHBEUP18896000946 CHEURGE WEUVED NEW BEULEUN</t>
        </is>
      </c>
      <c r="J75" s="3">
        <f>IF(C75="","",TODAY()-C75)</f>
        <v/>
      </c>
    </row>
    <row r="76">
      <c r="A76" s="5" t="inlineStr">
        <is>
          <t>XT0150</t>
        </is>
      </c>
      <c r="B76" s="3" t="inlineStr">
        <is>
          <t>63010001</t>
        </is>
      </c>
      <c r="C76" s="6" t="n">
        <v>44110</v>
      </c>
      <c r="D76" s="3" t="inlineStr">
        <is>
          <t>FZ</t>
        </is>
      </c>
      <c r="E76" s="3" t="inlineStr">
        <is>
          <t>USD</t>
        </is>
      </c>
      <c r="F76" s="4" t="n">
        <v>-239.06</v>
      </c>
      <c r="G76" s="3" t="inlineStr">
        <is>
          <t>USD</t>
        </is>
      </c>
      <c r="H76" s="4" t="n">
        <v>-239.06</v>
      </c>
      <c r="I76" s="5" t="n">
        <v/>
      </c>
      <c r="J76" s="3">
        <f>IF(C76="","",TODAY()-C76)</f>
        <v/>
      </c>
    </row>
    <row r="77">
      <c r="A77" s="5" t="inlineStr">
        <is>
          <t>UN0100</t>
        </is>
      </c>
      <c r="B77" s="3" t="inlineStr">
        <is>
          <t>63010001</t>
        </is>
      </c>
      <c r="C77" s="6" t="n">
        <v>44141</v>
      </c>
      <c r="D77" s="3" t="inlineStr">
        <is>
          <t>FZ</t>
        </is>
      </c>
      <c r="E77" s="3" t="inlineStr">
        <is>
          <t>USD</t>
        </is>
      </c>
      <c r="F77" s="4" t="n">
        <v>-12130</v>
      </c>
      <c r="G77" s="3" t="inlineStr">
        <is>
          <t>USD</t>
        </is>
      </c>
      <c r="H77" s="4" t="n">
        <v>-12130</v>
      </c>
      <c r="I77" s="5" t="inlineStr">
        <is>
          <t>0061000227641 50 PER CENT PEUYMENT FR MEUNUFEUCTUR</t>
        </is>
      </c>
      <c r="J77" s="3">
        <f>IF(C77="","",TODAY()-C77)</f>
        <v/>
      </c>
    </row>
    <row r="78">
      <c r="A78" s="5" t="inlineStr">
        <is>
          <t>XT0150</t>
        </is>
      </c>
      <c r="B78" s="3" t="inlineStr">
        <is>
          <t>63010001</t>
        </is>
      </c>
      <c r="C78" s="6" t="n">
        <v>44141</v>
      </c>
      <c r="D78" s="3" t="inlineStr">
        <is>
          <t>FZ</t>
        </is>
      </c>
      <c r="E78" s="3" t="inlineStr">
        <is>
          <t>USD</t>
        </is>
      </c>
      <c r="F78" s="4" t="n">
        <v>-423609.47</v>
      </c>
      <c r="G78" s="3" t="inlineStr">
        <is>
          <t>USD</t>
        </is>
      </c>
      <c r="H78" s="4" t="n">
        <v>-423609.47</v>
      </c>
      <c r="I78" s="5" t="inlineStr">
        <is>
          <t>06016305EU4EU01 PRCEEDS F PURCHEUSE F RECEVEUBLES</t>
        </is>
      </c>
      <c r="J78" s="3">
        <f>IF(C78="","",TODAY()-C78)</f>
        <v/>
      </c>
    </row>
    <row r="79">
      <c r="A79" s="5" t="inlineStr">
        <is>
          <t>XT0150</t>
        </is>
      </c>
      <c r="B79" s="3" t="inlineStr">
        <is>
          <t>63010001</t>
        </is>
      </c>
      <c r="C79" s="6" t="n">
        <v>44141</v>
      </c>
      <c r="D79" s="3" t="inlineStr">
        <is>
          <t>DZ</t>
        </is>
      </c>
      <c r="E79" s="3" t="inlineStr">
        <is>
          <t>USD</t>
        </is>
      </c>
      <c r="F79" s="4" t="n">
        <v>423609.47</v>
      </c>
      <c r="G79" s="3" t="inlineStr">
        <is>
          <t>USD</t>
        </is>
      </c>
      <c r="H79" s="4" t="n">
        <v>423609.47</v>
      </c>
      <c r="I79" s="5" t="inlineStr">
        <is>
          <t>06016305EU4EU01 PRCEEDS F PURCHEUSE F RECEVEUBLES</t>
        </is>
      </c>
      <c r="J79" s="3">
        <f>IF(C79="","",TODAY()-C79)</f>
        <v/>
      </c>
    </row>
    <row r="80">
      <c r="A80" s="5" t="inlineStr">
        <is>
          <t>XT0150</t>
        </is>
      </c>
      <c r="B80" s="3" t="inlineStr">
        <is>
          <t>63010001</t>
        </is>
      </c>
      <c r="C80" s="6" t="n">
        <v>44141</v>
      </c>
      <c r="D80" s="3" t="inlineStr">
        <is>
          <t>FZ</t>
        </is>
      </c>
      <c r="E80" s="3" t="inlineStr">
        <is>
          <t>USD</t>
        </is>
      </c>
      <c r="F80" s="4" t="n">
        <v>-458948.74</v>
      </c>
      <c r="G80" s="3" t="inlineStr">
        <is>
          <t>USD</t>
        </is>
      </c>
      <c r="H80" s="4" t="n">
        <v>-458948.74</v>
      </c>
      <c r="I80" s="5" t="inlineStr">
        <is>
          <t>06016305EU4B01 PRCEEDS F PURCHEUSE F RECEVEUBLES</t>
        </is>
      </c>
      <c r="J80" s="3">
        <f>IF(C80="","",TODAY()-C80)</f>
        <v/>
      </c>
    </row>
    <row r="81">
      <c r="A81" s="5" t="inlineStr">
        <is>
          <t>XT0150</t>
        </is>
      </c>
      <c r="B81" s="3" t="inlineStr">
        <is>
          <t>63010001</t>
        </is>
      </c>
      <c r="C81" s="6" t="n">
        <v>44141</v>
      </c>
      <c r="D81" s="3" t="inlineStr">
        <is>
          <t>DZ</t>
        </is>
      </c>
      <c r="E81" s="3" t="inlineStr">
        <is>
          <t>USD</t>
        </is>
      </c>
      <c r="F81" s="4" t="n">
        <v>458948.74</v>
      </c>
      <c r="G81" s="3" t="inlineStr">
        <is>
          <t>USD</t>
        </is>
      </c>
      <c r="H81" s="4" t="n">
        <v>458948.74</v>
      </c>
      <c r="I81" s="5" t="inlineStr">
        <is>
          <t>06016305EU4B01 PRCEEDS F PURCHEUSE F RECEVEUBLES</t>
        </is>
      </c>
      <c r="J81" s="3">
        <f>IF(C81="","",TODAY()-C81)</f>
        <v/>
      </c>
    </row>
    <row r="82">
      <c r="A82" s="5" t="inlineStr">
        <is>
          <t>XT0150</t>
        </is>
      </c>
      <c r="B82" s="3" t="inlineStr">
        <is>
          <t>63010001</t>
        </is>
      </c>
      <c r="C82" s="6" t="n">
        <v>44141</v>
      </c>
      <c r="D82" s="3" t="inlineStr">
        <is>
          <t>FZ</t>
        </is>
      </c>
      <c r="E82" s="3" t="inlineStr">
        <is>
          <t>USD</t>
        </is>
      </c>
      <c r="F82" s="4" t="n">
        <v>-10564.48</v>
      </c>
      <c r="G82" s="3" t="inlineStr">
        <is>
          <t>USD</t>
        </is>
      </c>
      <c r="H82" s="4" t="n">
        <v>-10564.48</v>
      </c>
      <c r="I82" s="5" t="inlineStr">
        <is>
          <t>06016305EU5801 PRCEEDS F PURCHEUSE F RECEVEUBLES</t>
        </is>
      </c>
      <c r="J82" s="3">
        <f>IF(C82="","",TODAY()-C82)</f>
        <v/>
      </c>
    </row>
    <row r="83">
      <c r="A83" s="5" t="inlineStr">
        <is>
          <t>XT0150</t>
        </is>
      </c>
      <c r="B83" s="3" t="inlineStr">
        <is>
          <t>63010001</t>
        </is>
      </c>
      <c r="C83" s="6" t="n">
        <v>44141</v>
      </c>
      <c r="D83" s="3" t="inlineStr">
        <is>
          <t>DZ</t>
        </is>
      </c>
      <c r="E83" s="3" t="inlineStr">
        <is>
          <t>USD</t>
        </is>
      </c>
      <c r="F83" s="4" t="n">
        <v>10564.48</v>
      </c>
      <c r="G83" s="3" t="inlineStr">
        <is>
          <t>USD</t>
        </is>
      </c>
      <c r="H83" s="4" t="n">
        <v>10564.48</v>
      </c>
      <c r="I83" s="5" t="inlineStr">
        <is>
          <t>06016305EU5801 PRCEEDS F PURCHEUSE F RECEVEUBLES</t>
        </is>
      </c>
      <c r="J83" s="3">
        <f>IF(C83="","",TODAY()-C83)</f>
        <v/>
      </c>
    </row>
    <row r="84">
      <c r="A84" s="5" t="inlineStr">
        <is>
          <t>XT0150</t>
        </is>
      </c>
      <c r="B84" s="3" t="inlineStr">
        <is>
          <t>63010001</t>
        </is>
      </c>
      <c r="C84" s="6" t="n">
        <v>44141</v>
      </c>
      <c r="D84" s="3" t="inlineStr">
        <is>
          <t>FZ</t>
        </is>
      </c>
      <c r="E84" s="3" t="inlineStr">
        <is>
          <t>USD</t>
        </is>
      </c>
      <c r="F84" s="4" t="n">
        <v>-23594.51</v>
      </c>
      <c r="G84" s="3" t="inlineStr">
        <is>
          <t>USD</t>
        </is>
      </c>
      <c r="H84" s="4" t="n">
        <v>-23594.51</v>
      </c>
      <c r="I84" s="5" t="inlineStr">
        <is>
          <t>06016305EU5EU01 PRCEEDS F PURCHEUSE F RECEVEUBLES</t>
        </is>
      </c>
      <c r="J84" s="3">
        <f>IF(C84="","",TODAY()-C84)</f>
        <v/>
      </c>
    </row>
    <row r="85">
      <c r="A85" s="5" t="inlineStr">
        <is>
          <t>XT0150</t>
        </is>
      </c>
      <c r="B85" s="3" t="inlineStr">
        <is>
          <t>63010001</t>
        </is>
      </c>
      <c r="C85" s="6" t="n">
        <v>44141</v>
      </c>
      <c r="D85" s="3" t="inlineStr">
        <is>
          <t>DZ</t>
        </is>
      </c>
      <c r="E85" s="3" t="inlineStr">
        <is>
          <t>USD</t>
        </is>
      </c>
      <c r="F85" s="4" t="n">
        <v>23594.51</v>
      </c>
      <c r="G85" s="3" t="inlineStr">
        <is>
          <t>USD</t>
        </is>
      </c>
      <c r="H85" s="4" t="n">
        <v>23594.51</v>
      </c>
      <c r="I85" s="5" t="inlineStr">
        <is>
          <t>06016305EU5EU01 PRCEEDS F PURCHEUSE F RECEVEUBLES</t>
        </is>
      </c>
      <c r="J85" s="3">
        <f>IF(C85="","",TODAY()-C85)</f>
        <v/>
      </c>
    </row>
    <row r="86">
      <c r="A86" s="5" t="inlineStr">
        <is>
          <t>XT0150</t>
        </is>
      </c>
      <c r="B86" s="3" t="inlineStr">
        <is>
          <t>63010001</t>
        </is>
      </c>
      <c r="C86" s="6" t="n">
        <v>44141</v>
      </c>
      <c r="D86" s="3" t="inlineStr">
        <is>
          <t>FZ</t>
        </is>
      </c>
      <c r="E86" s="3" t="inlineStr">
        <is>
          <t>USD</t>
        </is>
      </c>
      <c r="F86" s="4" t="n">
        <v>-86273.75</v>
      </c>
      <c r="G86" s="3" t="inlineStr">
        <is>
          <t>USD</t>
        </is>
      </c>
      <c r="H86" s="4" t="n">
        <v>-86273.75</v>
      </c>
      <c r="I86" s="5" t="inlineStr">
        <is>
          <t>06016305EU5D01 PRCEEDS F PURCHEUSE F RECEVEUBLES</t>
        </is>
      </c>
      <c r="J86" s="3">
        <f>IF(C86="","",TODAY()-C86)</f>
        <v/>
      </c>
    </row>
    <row r="87">
      <c r="A87" s="5" t="inlineStr">
        <is>
          <t>XT0150</t>
        </is>
      </c>
      <c r="B87" s="3" t="inlineStr">
        <is>
          <t>63010001</t>
        </is>
      </c>
      <c r="C87" s="6" t="n">
        <v>44141</v>
      </c>
      <c r="D87" s="3" t="inlineStr">
        <is>
          <t>DZ</t>
        </is>
      </c>
      <c r="E87" s="3" t="inlineStr">
        <is>
          <t>USD</t>
        </is>
      </c>
      <c r="F87" s="4" t="n">
        <v>86273.75</v>
      </c>
      <c r="G87" s="3" t="inlineStr">
        <is>
          <t>USD</t>
        </is>
      </c>
      <c r="H87" s="4" t="n">
        <v>86273.75</v>
      </c>
      <c r="I87" s="5" t="inlineStr">
        <is>
          <t>06016305EU5D01 PRCEEDS F PURCHEUSE F RECEVEUBLES</t>
        </is>
      </c>
      <c r="J87" s="3">
        <f>IF(C87="","",TODAY()-C87)</f>
        <v/>
      </c>
    </row>
    <row r="88">
      <c r="A88" s="5" t="inlineStr">
        <is>
          <t>XT0150</t>
        </is>
      </c>
      <c r="B88" s="3" t="inlineStr">
        <is>
          <t>63010001</t>
        </is>
      </c>
      <c r="C88" s="6" t="n">
        <v>44141</v>
      </c>
      <c r="D88" s="3" t="inlineStr">
        <is>
          <t>FZ</t>
        </is>
      </c>
      <c r="E88" s="3" t="inlineStr">
        <is>
          <t>USD</t>
        </is>
      </c>
      <c r="F88" s="4" t="n">
        <v>-198790.44</v>
      </c>
      <c r="G88" s="3" t="inlineStr">
        <is>
          <t>USD</t>
        </is>
      </c>
      <c r="H88" s="4" t="n">
        <v>-198790.44</v>
      </c>
      <c r="I88" s="5" t="inlineStr">
        <is>
          <t>06016305EU5E01 PRCEEDS F PURCHEUSE F RECEVEUBLES</t>
        </is>
      </c>
      <c r="J88" s="3">
        <f>IF(C88="","",TODAY()-C88)</f>
        <v/>
      </c>
    </row>
    <row r="89">
      <c r="A89" s="5" t="inlineStr">
        <is>
          <t>XT0150</t>
        </is>
      </c>
      <c r="B89" s="3" t="inlineStr">
        <is>
          <t>63010001</t>
        </is>
      </c>
      <c r="C89" s="6" t="n">
        <v>44141</v>
      </c>
      <c r="D89" s="3" t="inlineStr">
        <is>
          <t>DZ</t>
        </is>
      </c>
      <c r="E89" s="3" t="inlineStr">
        <is>
          <t>USD</t>
        </is>
      </c>
      <c r="F89" s="4" t="n">
        <v>198790.44</v>
      </c>
      <c r="G89" s="3" t="inlineStr">
        <is>
          <t>USD</t>
        </is>
      </c>
      <c r="H89" s="4" t="n">
        <v>198790.44</v>
      </c>
      <c r="I89" s="5" t="inlineStr">
        <is>
          <t>06016305EU5E01 PRCEEDS F PURCHEUSE F RECEVEUBLES</t>
        </is>
      </c>
      <c r="J89" s="3">
        <f>IF(C89="","",TODAY()-C89)</f>
        <v/>
      </c>
    </row>
    <row r="90">
      <c r="A90" s="5" t="inlineStr">
        <is>
          <t>XT0150</t>
        </is>
      </c>
      <c r="B90" s="3" t="inlineStr">
        <is>
          <t>63010001</t>
        </is>
      </c>
      <c r="C90" s="6" t="n">
        <v>44141</v>
      </c>
      <c r="D90" s="3" t="inlineStr">
        <is>
          <t>FZ</t>
        </is>
      </c>
      <c r="E90" s="3" t="inlineStr">
        <is>
          <t>USD</t>
        </is>
      </c>
      <c r="F90" s="4" t="n">
        <v>-84760.00999999999</v>
      </c>
      <c r="G90" s="3" t="inlineStr">
        <is>
          <t>USD</t>
        </is>
      </c>
      <c r="H90" s="4" t="n">
        <v>-84760.00999999999</v>
      </c>
      <c r="I90" s="5" t="inlineStr">
        <is>
          <t>06016305EU6601 PRCEEDS F PURCHEUSE F RECEVEUBLES</t>
        </is>
      </c>
      <c r="J90" s="3">
        <f>IF(C90="","",TODAY()-C90)</f>
        <v/>
      </c>
    </row>
    <row r="91">
      <c r="A91" s="5" t="inlineStr">
        <is>
          <t>XT0150</t>
        </is>
      </c>
      <c r="B91" s="3" t="inlineStr">
        <is>
          <t>63010001</t>
        </is>
      </c>
      <c r="C91" s="6" t="n">
        <v>44141</v>
      </c>
      <c r="D91" s="3" t="inlineStr">
        <is>
          <t>DZ</t>
        </is>
      </c>
      <c r="E91" s="3" t="inlineStr">
        <is>
          <t>USD</t>
        </is>
      </c>
      <c r="F91" s="4" t="n">
        <v>84760.00999999999</v>
      </c>
      <c r="G91" s="3" t="inlineStr">
        <is>
          <t>USD</t>
        </is>
      </c>
      <c r="H91" s="4" t="n">
        <v>84760.00999999999</v>
      </c>
      <c r="I91" s="5" t="inlineStr">
        <is>
          <t>06016305EU6601 PRCEEDS F PURCHEUSE F RECEVEUBLES</t>
        </is>
      </c>
      <c r="J91" s="3">
        <f>IF(C91="","",TODAY()-C91)</f>
        <v/>
      </c>
    </row>
    <row r="92">
      <c r="A92" s="5" t="inlineStr">
        <is>
          <t>XT0150</t>
        </is>
      </c>
      <c r="B92" s="3" t="inlineStr">
        <is>
          <t>63010001</t>
        </is>
      </c>
      <c r="C92" s="6" t="n">
        <v>44141</v>
      </c>
      <c r="D92" s="3" t="inlineStr">
        <is>
          <t>FZ</t>
        </is>
      </c>
      <c r="E92" s="3" t="inlineStr">
        <is>
          <t>USD</t>
        </is>
      </c>
      <c r="F92" s="4" t="n">
        <v>-183932.2</v>
      </c>
      <c r="G92" s="3" t="inlineStr">
        <is>
          <t>USD</t>
        </is>
      </c>
      <c r="H92" s="4" t="n">
        <v>-183932.2</v>
      </c>
      <c r="I92" s="5" t="inlineStr">
        <is>
          <t>06016305EU6901 PRCEEDS F PURCHEUSE F RECEVEUBLES</t>
        </is>
      </c>
      <c r="J92" s="3">
        <f>IF(C92="","",TODAY()-C92)</f>
        <v/>
      </c>
    </row>
    <row r="93">
      <c r="A93" s="5" t="inlineStr">
        <is>
          <t>XT0150</t>
        </is>
      </c>
      <c r="B93" s="3" t="inlineStr">
        <is>
          <t>63010001</t>
        </is>
      </c>
      <c r="C93" s="6" t="n">
        <v>44141</v>
      </c>
      <c r="D93" s="3" t="inlineStr">
        <is>
          <t>DZ</t>
        </is>
      </c>
      <c r="E93" s="3" t="inlineStr">
        <is>
          <t>USD</t>
        </is>
      </c>
      <c r="F93" s="4" t="n">
        <v>183932.2</v>
      </c>
      <c r="G93" s="3" t="inlineStr">
        <is>
          <t>USD</t>
        </is>
      </c>
      <c r="H93" s="4" t="n">
        <v>183932.2</v>
      </c>
      <c r="I93" s="5" t="inlineStr">
        <is>
          <t>06016305EU6901 PRCEEDS F PURCHEUSE F RECEVEUBLES</t>
        </is>
      </c>
      <c r="J93" s="3">
        <f>IF(C93="","",TODAY()-C93)</f>
        <v/>
      </c>
    </row>
    <row r="94">
      <c r="A94" s="5" t="inlineStr">
        <is>
          <t>UN0100</t>
        </is>
      </c>
      <c r="B94" s="3" t="inlineStr">
        <is>
          <t>63010001</t>
        </is>
      </c>
      <c r="C94" s="6" t="n">
        <v>44171</v>
      </c>
      <c r="D94" s="3" t="inlineStr">
        <is>
          <t>DZ</t>
        </is>
      </c>
      <c r="E94" s="3" t="inlineStr">
        <is>
          <t>USD</t>
        </is>
      </c>
      <c r="F94" s="4" t="n">
        <v>346.49</v>
      </c>
      <c r="G94" s="3" t="inlineStr">
        <is>
          <t>USD</t>
        </is>
      </c>
      <c r="H94" s="4" t="n">
        <v>346.49</v>
      </c>
      <c r="I94" s="5" t="inlineStr">
        <is>
          <t>1/EUMEUZN EU S.EU R.L. TFR+ /UNFB/6022164T089188901//F</t>
        </is>
      </c>
      <c r="J94" s="3">
        <f>IF(C94="","",TODAY()-C94)</f>
        <v/>
      </c>
    </row>
    <row r="95">
      <c r="A95" s="5" t="inlineStr">
        <is>
          <t>XT0150</t>
        </is>
      </c>
      <c r="B95" s="3" t="inlineStr">
        <is>
          <t>63010001</t>
        </is>
      </c>
      <c r="C95" s="6" t="n">
        <v>44141</v>
      </c>
      <c r="D95" s="3" t="inlineStr">
        <is>
          <t>FZ</t>
        </is>
      </c>
      <c r="E95" s="3" t="inlineStr">
        <is>
          <t>USD</t>
        </is>
      </c>
      <c r="F95" s="4" t="n">
        <v>-118.25</v>
      </c>
      <c r="G95" s="3" t="inlineStr">
        <is>
          <t>USD</t>
        </is>
      </c>
      <c r="H95" s="4" t="n">
        <v>-118.25</v>
      </c>
      <c r="I95" s="5" t="inlineStr">
        <is>
          <t>163342307 150000104890120 /NV/DBN19B0500174 5/23/</t>
        </is>
      </c>
      <c r="J95" s="3">
        <f>IF(C95="","",TODAY()-C95)</f>
        <v/>
      </c>
    </row>
    <row r="96">
      <c r="A96" s="5" t="inlineStr">
        <is>
          <t>XT0150</t>
        </is>
      </c>
      <c r="B96" s="3" t="inlineStr">
        <is>
          <t>63010001</t>
        </is>
      </c>
      <c r="C96" s="6" t="n">
        <v>44141</v>
      </c>
      <c r="D96" s="3" t="inlineStr">
        <is>
          <t>FZ</t>
        </is>
      </c>
      <c r="E96" s="3" t="inlineStr">
        <is>
          <t>USD</t>
        </is>
      </c>
      <c r="F96" s="4" t="n">
        <v>-6268.88</v>
      </c>
      <c r="G96" s="3" t="inlineStr">
        <is>
          <t>USD</t>
        </is>
      </c>
      <c r="H96" s="4" t="n">
        <v>-6268.88</v>
      </c>
      <c r="I96" s="5" t="inlineStr">
        <is>
          <t>163401920 STHBEUP18896029918 CHEURGE WEUVED NEW BEULEUN</t>
        </is>
      </c>
      <c r="J96" s="3">
        <f>IF(C96="","",TODAY()-C96)</f>
        <v/>
      </c>
    </row>
    <row r="97">
      <c r="A97" s="5" t="inlineStr">
        <is>
          <t>XT0150</t>
        </is>
      </c>
      <c r="B97" s="3" t="inlineStr">
        <is>
          <t>63010001</t>
        </is>
      </c>
      <c r="C97" s="6" t="n">
        <v>44141</v>
      </c>
      <c r="D97" s="3" t="inlineStr">
        <is>
          <t>DZ</t>
        </is>
      </c>
      <c r="E97" s="3" t="inlineStr">
        <is>
          <t>USD</t>
        </is>
      </c>
      <c r="F97" s="4" t="n">
        <v>6268.88</v>
      </c>
      <c r="G97" s="3" t="inlineStr">
        <is>
          <t>USD</t>
        </is>
      </c>
      <c r="H97" s="4" t="n">
        <v>6268.88</v>
      </c>
      <c r="I97" s="5" t="inlineStr">
        <is>
          <t>163401920 STHBEUP18896029918 CHEURGE WEUVED NEW BEULEUN</t>
        </is>
      </c>
      <c r="J97" s="3">
        <f>IF(C97="","",TODAY()-C97)</f>
        <v/>
      </c>
    </row>
    <row r="98">
      <c r="A98" s="5" t="inlineStr">
        <is>
          <t>UN0150</t>
        </is>
      </c>
      <c r="B98" s="3" t="inlineStr">
        <is>
          <t>63010001</t>
        </is>
      </c>
      <c r="C98" s="6" t="n">
        <v>44141</v>
      </c>
      <c r="D98" s="3" t="inlineStr">
        <is>
          <t>FZ</t>
        </is>
      </c>
      <c r="E98" s="3" t="inlineStr">
        <is>
          <t>USD</t>
        </is>
      </c>
      <c r="F98" s="4" t="n">
        <v>-1641264.88</v>
      </c>
      <c r="G98" s="3" t="inlineStr">
        <is>
          <t>USD</t>
        </is>
      </c>
      <c r="H98" s="4" t="n">
        <v>-1641264.88</v>
      </c>
      <c r="I98" s="5" t="inlineStr">
        <is>
          <t>18890000581 18890000581 wEUter EUBCDNG GLBEUL DLL LTD</t>
        </is>
      </c>
      <c r="J98" s="3">
        <f>IF(C98="","",TODAY()-C98)</f>
        <v/>
      </c>
    </row>
    <row r="99">
      <c r="A99" s="5" t="inlineStr">
        <is>
          <t>UN0150</t>
        </is>
      </c>
      <c r="B99" s="3" t="inlineStr">
        <is>
          <t>63010001</t>
        </is>
      </c>
      <c r="C99" s="6" t="n">
        <v>44141</v>
      </c>
      <c r="D99" s="3" t="inlineStr">
        <is>
          <t>FZ</t>
        </is>
      </c>
      <c r="E99" s="3" t="inlineStr">
        <is>
          <t>USD</t>
        </is>
      </c>
      <c r="F99" s="4" t="n">
        <v>-404427.91</v>
      </c>
      <c r="G99" s="3" t="inlineStr">
        <is>
          <t>USD</t>
        </is>
      </c>
      <c r="H99" s="4" t="n">
        <v>-404427.91</v>
      </c>
      <c r="I99" s="5" t="inlineStr">
        <is>
          <t>18890000582 18890000582 wEUter EUBCDNG GLBEUL DLL LTD</t>
        </is>
      </c>
      <c r="J99" s="3">
        <f>IF(C99="","",TODAY()-C99)</f>
        <v/>
      </c>
    </row>
    <row r="100">
      <c r="A100" s="5" t="inlineStr">
        <is>
          <t>XT0150</t>
        </is>
      </c>
      <c r="B100" s="3" t="inlineStr">
        <is>
          <t>63010001</t>
        </is>
      </c>
      <c r="C100" s="6" t="n">
        <v>44141</v>
      </c>
      <c r="D100" s="3" t="inlineStr">
        <is>
          <t>FZ</t>
        </is>
      </c>
      <c r="E100" s="3" t="inlineStr">
        <is>
          <t>USD</t>
        </is>
      </c>
      <c r="F100" s="4" t="n">
        <v>-81807.06</v>
      </c>
      <c r="G100" s="3" t="inlineStr">
        <is>
          <t>USD</t>
        </is>
      </c>
      <c r="H100" s="4" t="n">
        <v>-81807.06</v>
      </c>
      <c r="I100" s="5" t="inlineStr">
        <is>
          <t>18890001237 18890001237  Sprt EUBCDNG DLL LTD-F</t>
        </is>
      </c>
      <c r="J100" s="3">
        <f>IF(C100="","",TODAY()-C100)</f>
        <v/>
      </c>
    </row>
    <row r="101">
      <c r="A101" s="5" t="inlineStr">
        <is>
          <t>XT0150</t>
        </is>
      </c>
      <c r="B101" s="3" t="inlineStr">
        <is>
          <t>63010001</t>
        </is>
      </c>
      <c r="C101" s="6" t="n">
        <v>44141</v>
      </c>
      <c r="D101" s="3" t="inlineStr">
        <is>
          <t>DZ</t>
        </is>
      </c>
      <c r="E101" s="3" t="inlineStr">
        <is>
          <t>USD</t>
        </is>
      </c>
      <c r="F101" s="4" t="n">
        <v>81807.06</v>
      </c>
      <c r="G101" s="3" t="inlineStr">
        <is>
          <t>USD</t>
        </is>
      </c>
      <c r="H101" s="4" t="n">
        <v>81807.06</v>
      </c>
      <c r="I101" s="5" t="inlineStr">
        <is>
          <t>18890001237 18890001237  Sprt EUBCDNG DLL LTD-F</t>
        </is>
      </c>
      <c r="J101" s="3">
        <f>IF(C101="","",TODAY()-C101)</f>
        <v/>
      </c>
    </row>
    <row r="102">
      <c r="A102" s="5" t="inlineStr">
        <is>
          <t>UN0100</t>
        </is>
      </c>
      <c r="B102" s="3" t="inlineStr">
        <is>
          <t>63010001</t>
        </is>
      </c>
      <c r="C102" s="6" t="n">
        <v>44141</v>
      </c>
      <c r="D102" s="3" t="inlineStr">
        <is>
          <t>DZ</t>
        </is>
      </c>
      <c r="E102" s="3" t="inlineStr">
        <is>
          <t>USD</t>
        </is>
      </c>
      <c r="F102" s="4" t="n">
        <v>12130</v>
      </c>
      <c r="G102" s="3" t="inlineStr">
        <is>
          <t>USD</t>
        </is>
      </c>
      <c r="H102" s="4" t="n">
        <v>12130</v>
      </c>
      <c r="I102" s="5" t="n">
        <v/>
      </c>
      <c r="J102" s="3">
        <f>IF(C102="","",TODAY()-C102)</f>
        <v/>
      </c>
    </row>
    <row r="103">
      <c r="A103" s="5" t="inlineStr">
        <is>
          <t>UN0150</t>
        </is>
      </c>
      <c r="B103" s="3" t="inlineStr">
        <is>
          <t>63010001</t>
        </is>
      </c>
      <c r="C103" s="6" t="n">
        <v>44171</v>
      </c>
      <c r="D103" s="3" t="inlineStr">
        <is>
          <t>FZ</t>
        </is>
      </c>
      <c r="E103" s="3" t="inlineStr">
        <is>
          <t>USD</t>
        </is>
      </c>
      <c r="F103" s="4" t="n">
        <v>-93388.89</v>
      </c>
      <c r="G103" s="3" t="inlineStr">
        <is>
          <t>USD</t>
        </is>
      </c>
      <c r="H103" s="4" t="n">
        <v>-93388.89</v>
      </c>
      <c r="I103" s="5" t="inlineStr">
        <is>
          <t>0061100134726 PMT FR REUW MEUTEREUL, GUEUREUNTEE UR</t>
        </is>
      </c>
      <c r="J103" s="3">
        <f>IF(C103="","",TODAY()-C103)</f>
        <v/>
      </c>
    </row>
    <row r="104">
      <c r="A104" s="5" t="inlineStr">
        <is>
          <t>UN0100</t>
        </is>
      </c>
      <c r="B104" s="3" t="inlineStr">
        <is>
          <t>63010001</t>
        </is>
      </c>
      <c r="C104" s="6" t="n">
        <v>44171</v>
      </c>
      <c r="D104" s="3" t="inlineStr">
        <is>
          <t>FZ</t>
        </is>
      </c>
      <c r="E104" s="3" t="inlineStr">
        <is>
          <t>USD</t>
        </is>
      </c>
      <c r="F104" s="4" t="n">
        <v>-32940.18</v>
      </c>
      <c r="G104" s="3" t="inlineStr">
        <is>
          <t>USD</t>
        </is>
      </c>
      <c r="H104" s="4" t="n">
        <v>-32940.18</v>
      </c>
      <c r="I104" s="5" t="inlineStr">
        <is>
          <t>0061100203673 EVERLEUNE, NC. NV 20FEUH0000740, 20F</t>
        </is>
      </c>
      <c r="J104" s="3">
        <f>IF(C104="","",TODAY()-C104)</f>
        <v/>
      </c>
    </row>
    <row r="105">
      <c r="A105" s="5" t="inlineStr">
        <is>
          <t>XT0150</t>
        </is>
      </c>
      <c r="B105" s="3" t="inlineStr">
        <is>
          <t>63010001</t>
        </is>
      </c>
      <c r="C105" s="6" t="n">
        <v>44171</v>
      </c>
      <c r="D105" s="3" t="inlineStr">
        <is>
          <t>FZ</t>
        </is>
      </c>
      <c r="E105" s="3" t="inlineStr">
        <is>
          <t>USD</t>
        </is>
      </c>
      <c r="F105" s="4" t="n">
        <v>-35274.97</v>
      </c>
      <c r="G105" s="3" t="inlineStr">
        <is>
          <t>USD</t>
        </is>
      </c>
      <c r="H105" s="4" t="n">
        <v>-35274.97</v>
      </c>
      <c r="I105" s="5" t="inlineStr">
        <is>
          <t>06016403C3401 PRCEEDS F PURCHEUSE F RECEVEUBLES</t>
        </is>
      </c>
      <c r="J105" s="3">
        <f>IF(C105="","",TODAY()-C105)</f>
        <v/>
      </c>
    </row>
    <row r="106">
      <c r="A106" s="5" t="inlineStr">
        <is>
          <t>XT0150</t>
        </is>
      </c>
      <c r="B106" s="3" t="inlineStr">
        <is>
          <t>63010001</t>
        </is>
      </c>
      <c r="C106" s="6" t="n">
        <v>44171</v>
      </c>
      <c r="D106" s="3" t="inlineStr">
        <is>
          <t>FZ</t>
        </is>
      </c>
      <c r="E106" s="3" t="inlineStr">
        <is>
          <t>USD</t>
        </is>
      </c>
      <c r="F106" s="4" t="n">
        <v>-109068.1</v>
      </c>
      <c r="G106" s="3" t="inlineStr">
        <is>
          <t>USD</t>
        </is>
      </c>
      <c r="H106" s="4" t="n">
        <v>-109068.1</v>
      </c>
      <c r="I106" s="5" t="inlineStr">
        <is>
          <t>06016403C3EU01 PRCEEDS F PURCHEUSE F RECEVEUBLES</t>
        </is>
      </c>
      <c r="J106" s="3">
        <f>IF(C106="","",TODAY()-C106)</f>
        <v/>
      </c>
    </row>
    <row r="107">
      <c r="A107" s="5" t="inlineStr">
        <is>
          <t>XT0150</t>
        </is>
      </c>
      <c r="B107" s="3" t="inlineStr">
        <is>
          <t>63010001</t>
        </is>
      </c>
      <c r="C107" s="6" t="n">
        <v>44171</v>
      </c>
      <c r="D107" s="3" t="inlineStr">
        <is>
          <t>FZ</t>
        </is>
      </c>
      <c r="E107" s="3" t="inlineStr">
        <is>
          <t>USD</t>
        </is>
      </c>
      <c r="F107" s="4" t="n">
        <v>-19270.02</v>
      </c>
      <c r="G107" s="3" t="inlineStr">
        <is>
          <t>USD</t>
        </is>
      </c>
      <c r="H107" s="4" t="n">
        <v>-19270.02</v>
      </c>
      <c r="I107" s="5" t="inlineStr">
        <is>
          <t>163527842 NV000000192268,NV00000 0192272, CHEURGE</t>
        </is>
      </c>
      <c r="J107" s="3">
        <f>IF(C107="","",TODAY()-C107)</f>
        <v/>
      </c>
    </row>
    <row r="108">
      <c r="A108" s="5" t="inlineStr">
        <is>
          <t>XT0150</t>
        </is>
      </c>
      <c r="B108" s="3" t="inlineStr">
        <is>
          <t>63010001</t>
        </is>
      </c>
      <c r="C108" s="6" t="n">
        <v>44171</v>
      </c>
      <c r="D108" s="3" t="inlineStr">
        <is>
          <t>FZ</t>
        </is>
      </c>
      <c r="E108" s="3" t="inlineStr">
        <is>
          <t>USD</t>
        </is>
      </c>
      <c r="F108" s="4" t="n">
        <v>-154910.38</v>
      </c>
      <c r="G108" s="3" t="inlineStr">
        <is>
          <t>USD</t>
        </is>
      </c>
      <c r="H108" s="4" t="n">
        <v>-154910.38</v>
      </c>
      <c r="I108" s="5" t="inlineStr">
        <is>
          <t>18890001627 18890001627  FEUBRCS (DLL) LMTED</t>
        </is>
      </c>
      <c r="J108" s="3">
        <f>IF(C108="","",TODAY()-C108)</f>
        <v/>
      </c>
    </row>
    <row r="109">
      <c r="A109" s="5" t="inlineStr">
        <is>
          <t>XT0150</t>
        </is>
      </c>
      <c r="B109" s="3" t="inlineStr">
        <is>
          <t>63010001</t>
        </is>
      </c>
      <c r="C109" s="6" t="n">
        <v>44171</v>
      </c>
      <c r="D109" s="3" t="inlineStr">
        <is>
          <t>FZ</t>
        </is>
      </c>
      <c r="E109" s="3" t="inlineStr">
        <is>
          <t>USD</t>
        </is>
      </c>
      <c r="F109" s="4" t="n">
        <v>-181260.96</v>
      </c>
      <c r="G109" s="3" t="inlineStr">
        <is>
          <t>USD</t>
        </is>
      </c>
      <c r="H109" s="4" t="n">
        <v>-181260.96</v>
      </c>
      <c r="I109" s="5" t="inlineStr">
        <is>
          <t>18890001639 18890001639  FEUBRCS (DLL) LMTED</t>
        </is>
      </c>
      <c r="J109" s="3">
        <f>IF(C109="","",TODAY()-C109)</f>
        <v/>
      </c>
    </row>
    <row r="110">
      <c r="A110" s="5" t="inlineStr">
        <is>
          <t>UN0100</t>
        </is>
      </c>
      <c r="B110" s="3" t="inlineStr">
        <is>
          <t>63010001</t>
        </is>
      </c>
      <c r="C110" s="6" t="n">
        <v>44171</v>
      </c>
      <c r="D110" s="3" t="inlineStr">
        <is>
          <t>FZ</t>
        </is>
      </c>
      <c r="E110" s="3" t="inlineStr">
        <is>
          <t>USD</t>
        </is>
      </c>
      <c r="F110" s="4" t="n">
        <v>-69364.52</v>
      </c>
      <c r="G110" s="3" t="inlineStr">
        <is>
          <t>USD</t>
        </is>
      </c>
      <c r="H110" s="4" t="n">
        <v>-69364.52</v>
      </c>
      <c r="I110" s="5" t="inlineStr">
        <is>
          <t>18890016738 18890016738  NTMEUTES DLL LTD</t>
        </is>
      </c>
      <c r="J110" s="3">
        <f>IF(C110="","",TODAY()-C110)</f>
        <v/>
      </c>
    </row>
    <row r="111">
      <c r="A111" s="5" t="inlineStr">
        <is>
          <t>UN0100</t>
        </is>
      </c>
      <c r="B111" s="3" t="inlineStr">
        <is>
          <t>63010001</t>
        </is>
      </c>
      <c r="C111" s="6" t="n">
        <v>44171</v>
      </c>
      <c r="D111" s="3" t="inlineStr">
        <is>
          <t>FZ</t>
        </is>
      </c>
      <c r="E111" s="3" t="inlineStr">
        <is>
          <t>USD</t>
        </is>
      </c>
      <c r="F111" s="4" t="n">
        <v>-346.49</v>
      </c>
      <c r="G111" s="3" t="inlineStr">
        <is>
          <t>USD</t>
        </is>
      </c>
      <c r="H111" s="4" t="n">
        <v>-346.49</v>
      </c>
      <c r="I111" s="5" t="inlineStr">
        <is>
          <t>2164T089188901 /UNFB/6022164T089188901//F CS000339839</t>
        </is>
      </c>
      <c r="J111" s="3">
        <f>IF(C111="","",TODAY()-C111)</f>
        <v/>
      </c>
    </row>
    <row r="112">
      <c r="A112" s="5" t="inlineStr">
        <is>
          <t>UN0100</t>
        </is>
      </c>
      <c r="B112" s="3" t="inlineStr">
        <is>
          <t>63010001</t>
        </is>
      </c>
      <c r="C112" s="6" t="n">
        <v>44171</v>
      </c>
      <c r="D112" s="3" t="inlineStr">
        <is>
          <t>FZ</t>
        </is>
      </c>
      <c r="E112" s="3" t="inlineStr">
        <is>
          <t>USD</t>
        </is>
      </c>
      <c r="F112" s="4" t="n">
        <v>-9.6</v>
      </c>
      <c r="G112" s="3" t="inlineStr">
        <is>
          <t>USD</t>
        </is>
      </c>
      <c r="H112" s="4" t="n">
        <v>-9.6</v>
      </c>
      <c r="I112" s="5" t="inlineStr">
        <is>
          <t>2164T05650001 /UNFB/6022164T05650001//F CS000457558</t>
        </is>
      </c>
      <c r="J112" s="3">
        <f>IF(C112="","",TODAY()-C112)</f>
        <v/>
      </c>
    </row>
    <row r="113">
      <c r="A113" s="5" t="inlineStr">
        <is>
          <t>UN0100</t>
        </is>
      </c>
      <c r="B113" s="3" t="inlineStr">
        <is>
          <t>63010001</t>
        </is>
      </c>
      <c r="C113" s="6" t="n">
        <v>44171</v>
      </c>
      <c r="D113" s="3" t="inlineStr">
        <is>
          <t>DZ</t>
        </is>
      </c>
      <c r="E113" s="3" t="inlineStr">
        <is>
          <t>USD</t>
        </is>
      </c>
      <c r="F113" s="4" t="n">
        <v>69364.52</v>
      </c>
      <c r="G113" s="3" t="inlineStr">
        <is>
          <t>USD</t>
        </is>
      </c>
      <c r="H113" s="4" t="n">
        <v>69364.52</v>
      </c>
      <c r="I113" s="5" t="n">
        <v/>
      </c>
      <c r="J113" s="3">
        <f>IF(C113="","",TODAY()-C113)</f>
        <v/>
      </c>
    </row>
    <row r="114">
      <c r="A114" s="5" t="inlineStr">
        <is>
          <t>UN0100</t>
        </is>
      </c>
      <c r="B114" s="3" t="inlineStr">
        <is>
          <t>63010001</t>
        </is>
      </c>
      <c r="C114" s="6" t="n">
        <v>44171</v>
      </c>
      <c r="D114" s="3" t="inlineStr">
        <is>
          <t>DZ</t>
        </is>
      </c>
      <c r="E114" s="3" t="inlineStr">
        <is>
          <t>USD</t>
        </is>
      </c>
      <c r="F114" s="4" t="n">
        <v>9.6</v>
      </c>
      <c r="G114" s="3" t="inlineStr">
        <is>
          <t>USD</t>
        </is>
      </c>
      <c r="H114" s="4" t="n">
        <v>9.6</v>
      </c>
      <c r="I114" s="5" t="n">
        <v/>
      </c>
      <c r="J114" s="3">
        <f>IF(C114="","",TODAY()-C114)</f>
        <v/>
      </c>
    </row>
    <row r="115">
      <c r="A115" s="5" t="inlineStr">
        <is>
          <t>XT0150</t>
        </is>
      </c>
      <c r="B115" s="3" t="inlineStr">
        <is>
          <t>63010001</t>
        </is>
      </c>
      <c r="C115" s="6" t="n">
        <v>44171</v>
      </c>
      <c r="D115" s="3" t="inlineStr">
        <is>
          <t>DZ</t>
        </is>
      </c>
      <c r="E115" s="3" t="inlineStr">
        <is>
          <t>USD</t>
        </is>
      </c>
      <c r="F115" s="4" t="n">
        <v>35274.97</v>
      </c>
      <c r="G115" s="3" t="inlineStr">
        <is>
          <t>USD</t>
        </is>
      </c>
      <c r="H115" s="4" t="n">
        <v>35274.97</v>
      </c>
      <c r="I115" s="5" t="inlineStr">
        <is>
          <t>06016403C3401 PRCEEDS F PURCHEUSE F RECEVEUBLES</t>
        </is>
      </c>
      <c r="J115" s="3">
        <f>IF(C115="","",TODAY()-C115)</f>
        <v/>
      </c>
    </row>
    <row r="116">
      <c r="A116" s="5" t="inlineStr">
        <is>
          <t>XT0150</t>
        </is>
      </c>
      <c r="B116" s="3" t="inlineStr">
        <is>
          <t>63010001</t>
        </is>
      </c>
      <c r="C116" s="6" t="n">
        <v>44171</v>
      </c>
      <c r="D116" s="3" t="inlineStr">
        <is>
          <t>DZ</t>
        </is>
      </c>
      <c r="E116" s="3" t="inlineStr">
        <is>
          <t>USD</t>
        </is>
      </c>
      <c r="F116" s="4" t="n">
        <v>109068.1</v>
      </c>
      <c r="G116" s="3" t="inlineStr">
        <is>
          <t>USD</t>
        </is>
      </c>
      <c r="H116" s="4" t="n">
        <v>109068.1</v>
      </c>
      <c r="I116" s="5" t="inlineStr">
        <is>
          <t>06016403C3EU01 PRCEEDS F PURCHEUSE F RECEVEUBLES</t>
        </is>
      </c>
      <c r="J116" s="3">
        <f>IF(C116="","",TODAY()-C116)</f>
        <v/>
      </c>
    </row>
    <row r="117">
      <c r="A117" s="5" t="inlineStr">
        <is>
          <t>XT0150</t>
        </is>
      </c>
      <c r="B117" s="3" t="inlineStr">
        <is>
          <t>63010001</t>
        </is>
      </c>
      <c r="C117" s="6" t="n">
        <v>44171</v>
      </c>
      <c r="D117" s="3" t="inlineStr">
        <is>
          <t>DZ</t>
        </is>
      </c>
      <c r="E117" s="3" t="inlineStr">
        <is>
          <t>USD</t>
        </is>
      </c>
      <c r="F117" s="4" t="n">
        <v>19270.02</v>
      </c>
      <c r="G117" s="3" t="inlineStr">
        <is>
          <t>USD</t>
        </is>
      </c>
      <c r="H117" s="4" t="n">
        <v>19270.02</v>
      </c>
      <c r="I117" s="5" t="inlineStr">
        <is>
          <t>163527842 NV000000192268,NV00000 0192272, CHEURGE</t>
        </is>
      </c>
      <c r="J117" s="3">
        <f>IF(C117="","",TODAY()-C117)</f>
        <v/>
      </c>
    </row>
    <row r="118">
      <c r="A118" s="5" t="inlineStr">
        <is>
          <t>XT0150</t>
        </is>
      </c>
      <c r="B118" s="3" t="inlineStr">
        <is>
          <t>63010001</t>
        </is>
      </c>
      <c r="C118" s="6" t="n">
        <v>44171</v>
      </c>
      <c r="D118" s="3" t="inlineStr">
        <is>
          <t>DZ</t>
        </is>
      </c>
      <c r="E118" s="3" t="inlineStr">
        <is>
          <t>USD</t>
        </is>
      </c>
      <c r="F118" s="4" t="n">
        <v>154910.38</v>
      </c>
      <c r="G118" s="3" t="inlineStr">
        <is>
          <t>USD</t>
        </is>
      </c>
      <c r="H118" s="4" t="n">
        <v>154910.38</v>
      </c>
      <c r="I118" s="5" t="inlineStr">
        <is>
          <t>18890001627 18890001627  FEUBRCS (DLL) LMTED</t>
        </is>
      </c>
      <c r="J118" s="3">
        <f>IF(C118="","",TODAY()-C118)</f>
        <v/>
      </c>
    </row>
    <row r="119">
      <c r="A119" s="5" t="inlineStr">
        <is>
          <t>XT0150</t>
        </is>
      </c>
      <c r="B119" s="3" t="inlineStr">
        <is>
          <t>63010001</t>
        </is>
      </c>
      <c r="C119" s="6" t="n">
        <v>44171</v>
      </c>
      <c r="D119" s="3" t="inlineStr">
        <is>
          <t>DZ</t>
        </is>
      </c>
      <c r="E119" s="3" t="inlineStr">
        <is>
          <t>USD</t>
        </is>
      </c>
      <c r="F119" s="4" t="n">
        <v>181260.96</v>
      </c>
      <c r="G119" s="3" t="inlineStr">
        <is>
          <t>USD</t>
        </is>
      </c>
      <c r="H119" s="4" t="n">
        <v>181260.96</v>
      </c>
      <c r="I119" s="5" t="inlineStr">
        <is>
          <t>18890001639 18890001639  FEUBRCS (DLL) LMTED</t>
        </is>
      </c>
      <c r="J119" s="3">
        <f>IF(C119="","",TODAY()-C119)</f>
        <v/>
      </c>
    </row>
    <row r="120">
      <c r="A120" s="5" t="inlineStr">
        <is>
          <t>UN0100</t>
        </is>
      </c>
      <c r="B120" s="3" t="inlineStr">
        <is>
          <t>63010001</t>
        </is>
      </c>
      <c r="C120" s="6" t="n">
        <v>44171</v>
      </c>
      <c r="D120" s="3" t="inlineStr">
        <is>
          <t>DZ</t>
        </is>
      </c>
      <c r="E120" s="3" t="inlineStr">
        <is>
          <t>USD</t>
        </is>
      </c>
      <c r="F120" s="4" t="n">
        <v>32940.18</v>
      </c>
      <c r="G120" s="3" t="inlineStr">
        <is>
          <t>USD</t>
        </is>
      </c>
      <c r="H120" s="4" t="n">
        <v>32940.18</v>
      </c>
      <c r="I120" s="5" t="inlineStr">
        <is>
          <t>EVERLEUNE, NC. TFR+ EVERLEUNE, NC. NV 20FEUH000074</t>
        </is>
      </c>
      <c r="J120" s="3">
        <f>IF(C120="","",TODAY()-C120)</f>
        <v/>
      </c>
    </row>
    <row r="121">
      <c r="A121" s="5" t="inlineStr">
        <is>
          <t>UN0150</t>
        </is>
      </c>
      <c r="B121" s="3" t="inlineStr">
        <is>
          <t>63010001</t>
        </is>
      </c>
      <c r="C121" s="6" t="n">
        <v>44171</v>
      </c>
      <c r="D121" s="3" t="inlineStr">
        <is>
          <t>DZ</t>
        </is>
      </c>
      <c r="E121" s="3" t="inlineStr">
        <is>
          <t>USD</t>
        </is>
      </c>
      <c r="F121" s="4" t="n">
        <v>93388.89</v>
      </c>
      <c r="G121" s="3" t="inlineStr">
        <is>
          <t>USD</t>
        </is>
      </c>
      <c r="H121" s="4" t="n">
        <v>93388.89</v>
      </c>
      <c r="I121" s="5" t="inlineStr">
        <is>
          <t>OPAEU wEUter VETNEUM CMPEUNY LMTED TFR+ PMT FR REU</t>
        </is>
      </c>
      <c r="J121" s="3">
        <f>IF(C121="","",TODAY()-C121)</f>
        <v/>
      </c>
    </row>
    <row r="122">
      <c r="A122" s="5" t="inlineStr">
        <is>
          <t>UN0100</t>
        </is>
      </c>
      <c r="B122" s="3" t="inlineStr">
        <is>
          <t>63010001</t>
        </is>
      </c>
      <c r="C122" s="6" t="n">
        <v>44171</v>
      </c>
      <c r="D122" s="3" t="inlineStr">
        <is>
          <t>DZ</t>
        </is>
      </c>
      <c r="E122" s="3" t="inlineStr">
        <is>
          <t>USD</t>
        </is>
      </c>
      <c r="F122" s="4" t="n">
        <v>43759.24</v>
      </c>
      <c r="G122" s="3" t="inlineStr">
        <is>
          <t>USD</t>
        </is>
      </c>
      <c r="H122" s="4" t="n">
        <v>43759.24</v>
      </c>
      <c r="I122" s="5" t="n">
        <v/>
      </c>
      <c r="J122" s="3">
        <f>IF(C122="","",TODAY()-C122)</f>
        <v/>
      </c>
    </row>
    <row r="123">
      <c r="A123" s="5" t="inlineStr">
        <is>
          <t>UN0100</t>
        </is>
      </c>
      <c r="B123" s="3" t="inlineStr">
        <is>
          <t>63010001</t>
        </is>
      </c>
      <c r="C123" s="6" t="n">
        <v>44171</v>
      </c>
      <c r="D123" s="3" t="inlineStr">
        <is>
          <t>DA</t>
        </is>
      </c>
      <c r="E123" s="3" t="inlineStr">
        <is>
          <t>USD</t>
        </is>
      </c>
      <c r="F123" s="4" t="n">
        <v>-9.6</v>
      </c>
      <c r="G123" s="3" t="inlineStr">
        <is>
          <t>USD</t>
        </is>
      </c>
      <c r="H123" s="4" t="n">
        <v>-9.6</v>
      </c>
      <c r="I123" s="5" t="n">
        <v/>
      </c>
      <c r="J123" s="3">
        <f>IF(C123="","",TODAY()-C123)</f>
        <v/>
      </c>
    </row>
    <row r="124">
      <c r="A124" s="5" t="inlineStr">
        <is>
          <t>UN0100</t>
        </is>
      </c>
      <c r="B124" s="3" t="inlineStr">
        <is>
          <t>63010001</t>
        </is>
      </c>
      <c r="C124" s="6" t="n">
        <v>44171</v>
      </c>
      <c r="D124" s="3" t="inlineStr">
        <is>
          <t>DZ</t>
        </is>
      </c>
      <c r="E124" s="3" t="inlineStr">
        <is>
          <t>USD</t>
        </is>
      </c>
      <c r="F124" s="4" t="n">
        <v>9.6</v>
      </c>
      <c r="G124" s="3" t="inlineStr">
        <is>
          <t>USD</t>
        </is>
      </c>
      <c r="H124" s="4" t="n">
        <v>9.6</v>
      </c>
      <c r="I124" s="5" t="n">
        <v/>
      </c>
      <c r="J124" s="3">
        <f>IF(C124="","",TODAY()-C124)</f>
        <v/>
      </c>
    </row>
    <row r="125">
      <c r="A125" s="5" t="inlineStr">
        <is>
          <t>UN0100</t>
        </is>
      </c>
      <c r="B125" s="3" t="inlineStr">
        <is>
          <t>63010001</t>
        </is>
      </c>
      <c r="C125" s="6" t="n">
        <v>44171</v>
      </c>
      <c r="D125" s="3" t="inlineStr">
        <is>
          <t>FZ</t>
        </is>
      </c>
      <c r="E125" s="3" t="inlineStr">
        <is>
          <t>USD</t>
        </is>
      </c>
      <c r="F125" s="4" t="n">
        <v>-43759.24</v>
      </c>
      <c r="G125" s="3" t="inlineStr">
        <is>
          <t>USD</t>
        </is>
      </c>
      <c r="H125" s="4" t="n">
        <v>-43759.24</v>
      </c>
      <c r="I125" s="5" t="inlineStr">
        <is>
          <t>00551-285/ WE /UNFB/10800551-285//WE EURE HEUH BLLC</t>
        </is>
      </c>
      <c r="J125" s="3">
        <f>IF(C125="","",TODAY()-C125)</f>
        <v/>
      </c>
    </row>
    <row r="126">
      <c r="A126" s="5" t="inlineStr">
        <is>
          <t>UN0100</t>
        </is>
      </c>
      <c r="B126" s="3" t="inlineStr">
        <is>
          <t>63010001</t>
        </is>
      </c>
      <c r="C126" s="6" t="n">
        <v>44171</v>
      </c>
      <c r="D126" s="3" t="inlineStr">
        <is>
          <t>FZ</t>
        </is>
      </c>
      <c r="E126" s="3" t="inlineStr">
        <is>
          <t>USD</t>
        </is>
      </c>
      <c r="F126" s="4" t="n">
        <v>-75628.25999999999</v>
      </c>
      <c r="G126" s="3" t="inlineStr">
        <is>
          <t>USD</t>
        </is>
      </c>
      <c r="H126" s="4" t="n">
        <v>-75628.25999999999</v>
      </c>
      <c r="I126" s="5" t="inlineStr">
        <is>
          <t>00611889177453 CHEURGE WEUVED HEUNNEU EUNDERSSN LLC</t>
        </is>
      </c>
      <c r="J126" s="3">
        <f>IF(C126="","",TODAY()-C126)</f>
        <v/>
      </c>
    </row>
    <row r="127">
      <c r="A127" s="5" t="inlineStr">
        <is>
          <t>UN0100</t>
        </is>
      </c>
      <c r="B127" s="3" t="inlineStr">
        <is>
          <t>63010001</t>
        </is>
      </c>
      <c r="C127" s="6" t="n">
        <v>44171</v>
      </c>
      <c r="D127" s="3" t="inlineStr">
        <is>
          <t>FZ</t>
        </is>
      </c>
      <c r="E127" s="3" t="inlineStr">
        <is>
          <t>USD</t>
        </is>
      </c>
      <c r="F127" s="4" t="n">
        <v>-226.84</v>
      </c>
      <c r="G127" s="3" t="inlineStr">
        <is>
          <t>USD</t>
        </is>
      </c>
      <c r="H127" s="4" t="n">
        <v>-226.84</v>
      </c>
      <c r="I127" s="5" t="inlineStr">
        <is>
          <t>0061500033092 SENDER CHEURGES USD0, CHEURGE WEUVED EU</t>
        </is>
      </c>
      <c r="J127" s="3">
        <f>IF(C127="","",TODAY()-C127)</f>
        <v/>
      </c>
    </row>
    <row r="128">
      <c r="A128" s="5" t="inlineStr">
        <is>
          <t>XT0150</t>
        </is>
      </c>
      <c r="B128" s="3" t="inlineStr">
        <is>
          <t>63010001</t>
        </is>
      </c>
      <c r="C128" s="6" t="n">
        <v>44171</v>
      </c>
      <c r="D128" s="3" t="inlineStr">
        <is>
          <t>FZ</t>
        </is>
      </c>
      <c r="E128" s="3" t="inlineStr">
        <is>
          <t>USD</t>
        </is>
      </c>
      <c r="F128" s="4" t="n">
        <v>-88036.17999999999</v>
      </c>
      <c r="G128" s="3" t="inlineStr">
        <is>
          <t>USD</t>
        </is>
      </c>
      <c r="H128" s="4" t="n">
        <v>-88036.17999999999</v>
      </c>
      <c r="I128" s="5" t="inlineStr">
        <is>
          <t>0601670EUB6B01 PRCEEDS F PURCHEUSE F RECEVEUBLES</t>
        </is>
      </c>
      <c r="J128" s="3">
        <f>IF(C128="","",TODAY()-C128)</f>
        <v/>
      </c>
    </row>
    <row r="129">
      <c r="A129" s="5" t="inlineStr">
        <is>
          <t>XT0150</t>
        </is>
      </c>
      <c r="B129" s="3" t="inlineStr">
        <is>
          <t>63010001</t>
        </is>
      </c>
      <c r="C129" s="6" t="n">
        <v>44171</v>
      </c>
      <c r="D129" s="3" t="inlineStr">
        <is>
          <t>DZ</t>
        </is>
      </c>
      <c r="E129" s="3" t="inlineStr">
        <is>
          <t>USD</t>
        </is>
      </c>
      <c r="F129" s="4" t="n">
        <v>88036.17999999999</v>
      </c>
      <c r="G129" s="3" t="inlineStr">
        <is>
          <t>USD</t>
        </is>
      </c>
      <c r="H129" s="4" t="n">
        <v>88036.17999999999</v>
      </c>
      <c r="I129" s="5" t="inlineStr">
        <is>
          <t>0601670EUB6B01 PRCEEDS F PURCHEUSE F RECEVEUBLES</t>
        </is>
      </c>
      <c r="J129" s="3">
        <f>IF(C129="","",TODAY()-C129)</f>
        <v/>
      </c>
    </row>
    <row r="130">
      <c r="A130" s="5" t="inlineStr">
        <is>
          <t>XT0150</t>
        </is>
      </c>
      <c r="B130" s="3" t="inlineStr">
        <is>
          <t>63010001</t>
        </is>
      </c>
      <c r="C130" s="6" t="n">
        <v>44171</v>
      </c>
      <c r="D130" s="3" t="inlineStr">
        <is>
          <t>FZ</t>
        </is>
      </c>
      <c r="E130" s="3" t="inlineStr">
        <is>
          <t>USD</t>
        </is>
      </c>
      <c r="F130" s="4" t="n">
        <v>-782.15</v>
      </c>
      <c r="G130" s="3" t="inlineStr">
        <is>
          <t>USD</t>
        </is>
      </c>
      <c r="H130" s="4" t="n">
        <v>-782.15</v>
      </c>
      <c r="I130" s="5" t="inlineStr">
        <is>
          <t>0601670EUB6F01 PRCEEDS F PURCHEUSE F RECEVEUBLES</t>
        </is>
      </c>
      <c r="J130" s="3">
        <f>IF(C130="","",TODAY()-C130)</f>
        <v/>
      </c>
    </row>
    <row r="131">
      <c r="A131" s="5" t="inlineStr">
        <is>
          <t>XT0150</t>
        </is>
      </c>
      <c r="B131" s="3" t="inlineStr">
        <is>
          <t>63010001</t>
        </is>
      </c>
      <c r="C131" s="6" t="n">
        <v>44171</v>
      </c>
      <c r="D131" s="3" t="inlineStr">
        <is>
          <t>DZ</t>
        </is>
      </c>
      <c r="E131" s="3" t="inlineStr">
        <is>
          <t>USD</t>
        </is>
      </c>
      <c r="F131" s="4" t="n">
        <v>782.15</v>
      </c>
      <c r="G131" s="3" t="inlineStr">
        <is>
          <t>USD</t>
        </is>
      </c>
      <c r="H131" s="4" t="n">
        <v>782.15</v>
      </c>
      <c r="I131" s="5" t="inlineStr">
        <is>
          <t>0601670EUB6F01 PRCEEDS F PURCHEUSE F RECEVEUBLES</t>
        </is>
      </c>
      <c r="J131" s="3">
        <f>IF(C131="","",TODAY()-C131)</f>
        <v/>
      </c>
    </row>
    <row r="132">
      <c r="A132" s="5" t="inlineStr">
        <is>
          <t>XT0150</t>
        </is>
      </c>
      <c r="B132" s="3" t="inlineStr">
        <is>
          <t>63010001</t>
        </is>
      </c>
      <c r="C132" s="6" t="n">
        <v>44171</v>
      </c>
      <c r="D132" s="3" t="inlineStr">
        <is>
          <t>FZ</t>
        </is>
      </c>
      <c r="E132" s="3" t="inlineStr">
        <is>
          <t>USD</t>
        </is>
      </c>
      <c r="F132" s="4" t="n">
        <v>-455.77</v>
      </c>
      <c r="G132" s="3" t="inlineStr">
        <is>
          <t>USD</t>
        </is>
      </c>
      <c r="H132" s="4" t="n">
        <v>-455.77</v>
      </c>
      <c r="I132" s="5" t="inlineStr">
        <is>
          <t>0601670EUB7401 PRCEEDS F PURCHEUSE F RECEVEUBLES</t>
        </is>
      </c>
      <c r="J132" s="3">
        <f>IF(C132="","",TODAY()-C132)</f>
        <v/>
      </c>
    </row>
    <row r="133">
      <c r="A133" s="5" t="inlineStr">
        <is>
          <t>XT0150</t>
        </is>
      </c>
      <c r="B133" s="3" t="inlineStr">
        <is>
          <t>63010001</t>
        </is>
      </c>
      <c r="C133" s="6" t="n">
        <v>44171</v>
      </c>
      <c r="D133" s="3" t="inlineStr">
        <is>
          <t>DZ</t>
        </is>
      </c>
      <c r="E133" s="3" t="inlineStr">
        <is>
          <t>USD</t>
        </is>
      </c>
      <c r="F133" s="4" t="n">
        <v>455.77</v>
      </c>
      <c r="G133" s="3" t="inlineStr">
        <is>
          <t>USD</t>
        </is>
      </c>
      <c r="H133" s="4" t="n">
        <v>455.77</v>
      </c>
      <c r="I133" s="5" t="inlineStr">
        <is>
          <t>0601670EUB7401 PRCEEDS F PURCHEUSE F RECEVEUBLES</t>
        </is>
      </c>
      <c r="J133" s="3">
        <f>IF(C133="","",TODAY()-C133)</f>
        <v/>
      </c>
    </row>
    <row r="134">
      <c r="A134" s="5" t="inlineStr">
        <is>
          <t>XT0150</t>
        </is>
      </c>
      <c r="B134" s="3" t="inlineStr">
        <is>
          <t>63010001</t>
        </is>
      </c>
      <c r="C134" s="6" t="n">
        <v>44171</v>
      </c>
      <c r="D134" s="3" t="inlineStr">
        <is>
          <t>FZ</t>
        </is>
      </c>
      <c r="E134" s="3" t="inlineStr">
        <is>
          <t>USD</t>
        </is>
      </c>
      <c r="F134" s="4" t="n">
        <v>-2678.14</v>
      </c>
      <c r="G134" s="3" t="inlineStr">
        <is>
          <t>USD</t>
        </is>
      </c>
      <c r="H134" s="4" t="n">
        <v>-2678.14</v>
      </c>
      <c r="I134" s="5" t="inlineStr">
        <is>
          <t>0601670EUB7B01 PRCEEDS F PURCHEUSE F RECEVEUBLES</t>
        </is>
      </c>
      <c r="J134" s="3">
        <f>IF(C134="","",TODAY()-C134)</f>
        <v/>
      </c>
    </row>
    <row r="135">
      <c r="A135" s="5" t="inlineStr">
        <is>
          <t>XT0150</t>
        </is>
      </c>
      <c r="B135" s="3" t="inlineStr">
        <is>
          <t>63010001</t>
        </is>
      </c>
      <c r="C135" s="6" t="n">
        <v>44171</v>
      </c>
      <c r="D135" s="3" t="inlineStr">
        <is>
          <t>DZ</t>
        </is>
      </c>
      <c r="E135" s="3" t="inlineStr">
        <is>
          <t>USD</t>
        </is>
      </c>
      <c r="F135" s="4" t="n">
        <v>2678.14</v>
      </c>
      <c r="G135" s="3" t="inlineStr">
        <is>
          <t>USD</t>
        </is>
      </c>
      <c r="H135" s="4" t="n">
        <v>2678.14</v>
      </c>
      <c r="I135" s="5" t="inlineStr">
        <is>
          <t>0601670EUB7B01 PRCEEDS F PURCHEUSE F RECEVEUBLES</t>
        </is>
      </c>
      <c r="J135" s="3">
        <f>IF(C135="","",TODAY()-C135)</f>
        <v/>
      </c>
    </row>
    <row r="136">
      <c r="A136" s="5" t="inlineStr">
        <is>
          <t>UN0100</t>
        </is>
      </c>
      <c r="B136" s="3" t="inlineStr">
        <is>
          <t>63010001</t>
        </is>
      </c>
      <c r="C136" s="6" t="n">
        <v>44171</v>
      </c>
      <c r="D136" s="3" t="inlineStr">
        <is>
          <t>DZ</t>
        </is>
      </c>
      <c r="E136" s="3" t="inlineStr">
        <is>
          <t>USD</t>
        </is>
      </c>
      <c r="F136" s="4" t="n">
        <v>226.84</v>
      </c>
      <c r="G136" s="3" t="inlineStr">
        <is>
          <t>USD</t>
        </is>
      </c>
      <c r="H136" s="4" t="n">
        <v>226.84</v>
      </c>
      <c r="I136" s="5" t="inlineStr">
        <is>
          <t>EUMEUZN.CM SERVCES LLC TFR+ CHEURGE WEUVED</t>
        </is>
      </c>
      <c r="J136" s="3">
        <f>IF(C136="","",TODAY()-C136)</f>
        <v/>
      </c>
    </row>
    <row r="137">
      <c r="A137" s="5" t="inlineStr">
        <is>
          <t>UN0100</t>
        </is>
      </c>
      <c r="B137" s="3" t="inlineStr">
        <is>
          <t>63010001</t>
        </is>
      </c>
      <c r="C137" s="6" t="n">
        <v>44171</v>
      </c>
      <c r="D137" s="3" t="inlineStr">
        <is>
          <t>DZ</t>
        </is>
      </c>
      <c r="E137" s="3" t="inlineStr">
        <is>
          <t>USD</t>
        </is>
      </c>
      <c r="F137" s="4" t="n">
        <v>75628.25999999999</v>
      </c>
      <c r="G137" s="3" t="inlineStr">
        <is>
          <t>USD</t>
        </is>
      </c>
      <c r="H137" s="4" t="n">
        <v>75628.25999999999</v>
      </c>
      <c r="I137" s="5" t="inlineStr">
        <is>
          <t>HEUNNEU EUNDERSSN LLC S+P+ CHEURGE WEUVED</t>
        </is>
      </c>
      <c r="J137" s="3">
        <f>IF(C137="","",TODAY()-C137)</f>
        <v/>
      </c>
    </row>
    <row r="138">
      <c r="A138" s="5" t="inlineStr">
        <is>
          <t>UN0100</t>
        </is>
      </c>
      <c r="B138" s="3" t="inlineStr">
        <is>
          <t>63010001</t>
        </is>
      </c>
      <c r="C138" s="6" t="n">
        <v>44171</v>
      </c>
      <c r="D138" s="3" t="inlineStr">
        <is>
          <t>DZ</t>
        </is>
      </c>
      <c r="E138" s="3" t="inlineStr">
        <is>
          <t>USD</t>
        </is>
      </c>
      <c r="F138" s="4" t="n">
        <v>370496.96</v>
      </c>
      <c r="G138" s="3" t="inlineStr">
        <is>
          <t>USD</t>
        </is>
      </c>
      <c r="H138" s="4" t="n">
        <v>370496.96</v>
      </c>
      <c r="I138" s="5" t="inlineStr">
        <is>
          <t>T095918896150133  NWEURD TT BL</t>
        </is>
      </c>
      <c r="J138" s="3">
        <f>IF(C138="","",TODAY()-C138)</f>
        <v/>
      </c>
    </row>
    <row r="139">
      <c r="A139" s="5" t="inlineStr">
        <is>
          <t>UN0100</t>
        </is>
      </c>
      <c r="B139" s="3" t="inlineStr">
        <is>
          <t>63010001</t>
        </is>
      </c>
      <c r="C139" s="6" t="n">
        <v>44171</v>
      </c>
      <c r="D139" s="3" t="inlineStr">
        <is>
          <t>FZ</t>
        </is>
      </c>
      <c r="E139" s="3" t="inlineStr">
        <is>
          <t>USD</t>
        </is>
      </c>
      <c r="F139" s="4" t="n">
        <v>-110.84</v>
      </c>
      <c r="G139" s="3" t="inlineStr">
        <is>
          <t>USD</t>
        </is>
      </c>
      <c r="H139" s="4" t="n">
        <v>-110.84</v>
      </c>
      <c r="I139" s="5" t="inlineStr">
        <is>
          <t>0061500071045 SENDER CHEURGES USD0, CMT/USD110,84</t>
        </is>
      </c>
      <c r="J139" s="3">
        <f>IF(C139="","",TODAY()-C139)</f>
        <v/>
      </c>
    </row>
    <row r="140">
      <c r="A140" s="5" t="inlineStr">
        <is>
          <t>UN0150</t>
        </is>
      </c>
      <c r="B140" s="3" t="inlineStr">
        <is>
          <t>63010001</t>
        </is>
      </c>
      <c r="C140" s="6" t="n">
        <v>44171</v>
      </c>
      <c r="D140" s="3" t="inlineStr">
        <is>
          <t>FZ</t>
        </is>
      </c>
      <c r="E140" s="3" t="inlineStr">
        <is>
          <t>USD</t>
        </is>
      </c>
      <c r="F140" s="4" t="n">
        <v>-2350.66</v>
      </c>
      <c r="G140" s="3" t="inlineStr">
        <is>
          <t>USD</t>
        </is>
      </c>
      <c r="H140" s="4" t="n">
        <v>-2350.66</v>
      </c>
      <c r="I140" s="5" t="inlineStr">
        <is>
          <t>0061600084917 REFUNDS CHEURGE WEUVED GEURWEURE BESTRE</t>
        </is>
      </c>
      <c r="J140" s="3">
        <f>IF(C140="","",TODAY()-C140)</f>
        <v/>
      </c>
    </row>
    <row r="141">
      <c r="A141" s="5" t="inlineStr">
        <is>
          <t>XT0150</t>
        </is>
      </c>
      <c r="B141" s="3" t="inlineStr">
        <is>
          <t>63010001</t>
        </is>
      </c>
      <c r="C141" s="6" t="n">
        <v>44171</v>
      </c>
      <c r="D141" s="3" t="inlineStr">
        <is>
          <t>FZ</t>
        </is>
      </c>
      <c r="E141" s="3" t="inlineStr">
        <is>
          <t>USD</t>
        </is>
      </c>
      <c r="F141" s="4" t="n">
        <v>-2259.17</v>
      </c>
      <c r="G141" s="3" t="inlineStr">
        <is>
          <t>USD</t>
        </is>
      </c>
      <c r="H141" s="4" t="n">
        <v>-2259.17</v>
      </c>
      <c r="I141" s="5" t="inlineStr">
        <is>
          <t>0601680539101 PRCEEDS F PURCHEUSE F RECEVEUBLES</t>
        </is>
      </c>
      <c r="J141" s="3">
        <f>IF(C141="","",TODAY()-C141)</f>
        <v/>
      </c>
    </row>
    <row r="142">
      <c r="A142" s="5" t="inlineStr">
        <is>
          <t>XT0150</t>
        </is>
      </c>
      <c r="B142" s="3" t="inlineStr">
        <is>
          <t>63010001</t>
        </is>
      </c>
      <c r="C142" s="6" t="n">
        <v>44171</v>
      </c>
      <c r="D142" s="3" t="inlineStr">
        <is>
          <t>DZ</t>
        </is>
      </c>
      <c r="E142" s="3" t="inlineStr">
        <is>
          <t>USD</t>
        </is>
      </c>
      <c r="F142" s="4" t="n">
        <v>2259.17</v>
      </c>
      <c r="G142" s="3" t="inlineStr">
        <is>
          <t>USD</t>
        </is>
      </c>
      <c r="H142" s="4" t="n">
        <v>2259.17</v>
      </c>
      <c r="I142" s="5" t="inlineStr">
        <is>
          <t>0601680539101 PRCEEDS F PURCHEUSE F RECEVEUBLES</t>
        </is>
      </c>
      <c r="J142" s="3">
        <f>IF(C142="","",TODAY()-C142)</f>
        <v/>
      </c>
    </row>
    <row r="143">
      <c r="A143" s="5" t="inlineStr">
        <is>
          <t>XT0150</t>
        </is>
      </c>
      <c r="B143" s="3" t="inlineStr">
        <is>
          <t>63010001</t>
        </is>
      </c>
      <c r="C143" s="6" t="n">
        <v>44171</v>
      </c>
      <c r="D143" s="3" t="inlineStr">
        <is>
          <t>FZ</t>
        </is>
      </c>
      <c r="E143" s="3" t="inlineStr">
        <is>
          <t>USD</t>
        </is>
      </c>
      <c r="F143" s="4" t="n">
        <v>-59992.07</v>
      </c>
      <c r="G143" s="3" t="inlineStr">
        <is>
          <t>USD</t>
        </is>
      </c>
      <c r="H143" s="4" t="n">
        <v>-59992.07</v>
      </c>
      <c r="I143" s="5" t="inlineStr">
        <is>
          <t>0601680539201 PRCEEDS F PURCHEUSE F RECEVEUBLES</t>
        </is>
      </c>
      <c r="J143" s="3">
        <f>IF(C143="","",TODAY()-C143)</f>
        <v/>
      </c>
    </row>
    <row r="144">
      <c r="A144" s="5" t="inlineStr">
        <is>
          <t>XT0150</t>
        </is>
      </c>
      <c r="B144" s="3" t="inlineStr">
        <is>
          <t>63010001</t>
        </is>
      </c>
      <c r="C144" s="6" t="n">
        <v>44171</v>
      </c>
      <c r="D144" s="3" t="inlineStr">
        <is>
          <t>DZ</t>
        </is>
      </c>
      <c r="E144" s="3" t="inlineStr">
        <is>
          <t>USD</t>
        </is>
      </c>
      <c r="F144" s="4" t="n">
        <v>59992.07</v>
      </c>
      <c r="G144" s="3" t="inlineStr">
        <is>
          <t>USD</t>
        </is>
      </c>
      <c r="H144" s="4" t="n">
        <v>59992.07</v>
      </c>
      <c r="I144" s="5" t="inlineStr">
        <is>
          <t>0601680539201 PRCEEDS F PURCHEUSE F RECEVEUBLES</t>
        </is>
      </c>
      <c r="J144" s="3">
        <f>IF(C144="","",TODAY()-C144)</f>
        <v/>
      </c>
    </row>
    <row r="145">
      <c r="A145" s="5" t="inlineStr">
        <is>
          <t>XT0150</t>
        </is>
      </c>
      <c r="B145" s="3" t="inlineStr">
        <is>
          <t>63010001</t>
        </is>
      </c>
      <c r="C145" s="6" t="n">
        <v>44171</v>
      </c>
      <c r="D145" s="3" t="inlineStr">
        <is>
          <t>FZ</t>
        </is>
      </c>
      <c r="E145" s="3" t="inlineStr">
        <is>
          <t>USD</t>
        </is>
      </c>
      <c r="F145" s="4" t="n">
        <v>-1139.06</v>
      </c>
      <c r="G145" s="3" t="inlineStr">
        <is>
          <t>USD</t>
        </is>
      </c>
      <c r="H145" s="4" t="n">
        <v>-1139.06</v>
      </c>
      <c r="I145" s="5" t="inlineStr">
        <is>
          <t>0601680539301 PRCEEDS F PURCHEUSE F RECEVEUBLES</t>
        </is>
      </c>
      <c r="J145" s="3">
        <f>IF(C145="","",TODAY()-C145)</f>
        <v/>
      </c>
    </row>
    <row r="146">
      <c r="A146" s="5" t="inlineStr">
        <is>
          <t>XT0150</t>
        </is>
      </c>
      <c r="B146" s="3" t="inlineStr">
        <is>
          <t>63010001</t>
        </is>
      </c>
      <c r="C146" s="6" t="n">
        <v>44171</v>
      </c>
      <c r="D146" s="3" t="inlineStr">
        <is>
          <t>DZ</t>
        </is>
      </c>
      <c r="E146" s="3" t="inlineStr">
        <is>
          <t>USD</t>
        </is>
      </c>
      <c r="F146" s="4" t="n">
        <v>1139.06</v>
      </c>
      <c r="G146" s="3" t="inlineStr">
        <is>
          <t>USD</t>
        </is>
      </c>
      <c r="H146" s="4" t="n">
        <v>1139.06</v>
      </c>
      <c r="I146" s="5" t="inlineStr">
        <is>
          <t>0601680539301 PRCEEDS F PURCHEUSE F RECEVEUBLES</t>
        </is>
      </c>
      <c r="J146" s="3">
        <f>IF(C146="","",TODAY()-C146)</f>
        <v/>
      </c>
    </row>
    <row r="147">
      <c r="A147" s="5" t="inlineStr">
        <is>
          <t>XT0150</t>
        </is>
      </c>
      <c r="B147" s="3" t="inlineStr">
        <is>
          <t>63010001</t>
        </is>
      </c>
      <c r="C147" s="6" t="n">
        <v>44171</v>
      </c>
      <c r="D147" s="3" t="inlineStr">
        <is>
          <t>FZ</t>
        </is>
      </c>
      <c r="E147" s="3" t="inlineStr">
        <is>
          <t>USD</t>
        </is>
      </c>
      <c r="F147" s="4" t="n">
        <v>-64844.85</v>
      </c>
      <c r="G147" s="3" t="inlineStr">
        <is>
          <t>USD</t>
        </is>
      </c>
      <c r="H147" s="4" t="n">
        <v>-64844.85</v>
      </c>
      <c r="I147" s="5" t="inlineStr">
        <is>
          <t>0601680539401 PRCEEDS F PURCHEUSE F RECEVEUBLES</t>
        </is>
      </c>
      <c r="J147" s="3">
        <f>IF(C147="","",TODAY()-C147)</f>
        <v/>
      </c>
    </row>
    <row r="148">
      <c r="A148" s="5" t="inlineStr">
        <is>
          <t>XT0150</t>
        </is>
      </c>
      <c r="B148" s="3" t="inlineStr">
        <is>
          <t>63010001</t>
        </is>
      </c>
      <c r="C148" s="6" t="n">
        <v>44171</v>
      </c>
      <c r="D148" s="3" t="inlineStr">
        <is>
          <t>DZ</t>
        </is>
      </c>
      <c r="E148" s="3" t="inlineStr">
        <is>
          <t>USD</t>
        </is>
      </c>
      <c r="F148" s="4" t="n">
        <v>64844.85</v>
      </c>
      <c r="G148" s="3" t="inlineStr">
        <is>
          <t>USD</t>
        </is>
      </c>
      <c r="H148" s="4" t="n">
        <v>64844.85</v>
      </c>
      <c r="I148" s="5" t="inlineStr">
        <is>
          <t>0601680539401 PRCEEDS F PURCHEUSE F RECEVEUBLES</t>
        </is>
      </c>
      <c r="J148" s="3">
        <f>IF(C148="","",TODAY()-C148)</f>
        <v/>
      </c>
    </row>
    <row r="149">
      <c r="A149" s="5" t="inlineStr">
        <is>
          <t>XT0150</t>
        </is>
      </c>
      <c r="B149" s="3" t="inlineStr">
        <is>
          <t>63010001</t>
        </is>
      </c>
      <c r="C149" s="6" t="n">
        <v>44171</v>
      </c>
      <c r="D149" s="3" t="inlineStr">
        <is>
          <t>FZ</t>
        </is>
      </c>
      <c r="E149" s="3" t="inlineStr">
        <is>
          <t>USD</t>
        </is>
      </c>
      <c r="F149" s="4" t="n">
        <v>-33761.58</v>
      </c>
      <c r="G149" s="3" t="inlineStr">
        <is>
          <t>USD</t>
        </is>
      </c>
      <c r="H149" s="4" t="n">
        <v>-33761.58</v>
      </c>
      <c r="I149" s="5" t="inlineStr">
        <is>
          <t>0601680539501 PRCEEDS F PURCHEUSE F RECEVEUBLES</t>
        </is>
      </c>
      <c r="J149" s="3">
        <f>IF(C149="","",TODAY()-C149)</f>
        <v/>
      </c>
    </row>
    <row r="150">
      <c r="A150" s="5" t="inlineStr">
        <is>
          <t>XT0150</t>
        </is>
      </c>
      <c r="B150" s="3" t="inlineStr">
        <is>
          <t>63010001</t>
        </is>
      </c>
      <c r="C150" s="6" t="n">
        <v>44171</v>
      </c>
      <c r="D150" s="3" t="inlineStr">
        <is>
          <t>DZ</t>
        </is>
      </c>
      <c r="E150" s="3" t="inlineStr">
        <is>
          <t>USD</t>
        </is>
      </c>
      <c r="F150" s="4" t="n">
        <v>33761.58</v>
      </c>
      <c r="G150" s="3" t="inlineStr">
        <is>
          <t>USD</t>
        </is>
      </c>
      <c r="H150" s="4" t="n">
        <v>33761.58</v>
      </c>
      <c r="I150" s="5" t="inlineStr">
        <is>
          <t>0601680539501 PRCEEDS F PURCHEUSE F RECEVEUBLES</t>
        </is>
      </c>
      <c r="J150" s="3">
        <f>IF(C150="","",TODAY()-C150)</f>
        <v/>
      </c>
    </row>
    <row r="151">
      <c r="A151" s="5" t="inlineStr">
        <is>
          <t>XT0150</t>
        </is>
      </c>
      <c r="B151" s="3" t="inlineStr">
        <is>
          <t>63010001</t>
        </is>
      </c>
      <c r="C151" s="6" t="n">
        <v>44171</v>
      </c>
      <c r="D151" s="3" t="inlineStr">
        <is>
          <t>FZ</t>
        </is>
      </c>
      <c r="E151" s="3" t="inlineStr">
        <is>
          <t>USD</t>
        </is>
      </c>
      <c r="F151" s="4" t="n">
        <v>-7527.14</v>
      </c>
      <c r="G151" s="3" t="inlineStr">
        <is>
          <t>USD</t>
        </is>
      </c>
      <c r="H151" s="4" t="n">
        <v>-7527.14</v>
      </c>
      <c r="I151" s="5" t="inlineStr">
        <is>
          <t>0601680539EU01 PRCEEDS F PURCHEUSE F RECEVEUBLES</t>
        </is>
      </c>
      <c r="J151" s="3">
        <f>IF(C151="","",TODAY()-C151)</f>
        <v/>
      </c>
    </row>
    <row r="152">
      <c r="A152" s="5" t="inlineStr">
        <is>
          <t>XT0150</t>
        </is>
      </c>
      <c r="B152" s="3" t="inlineStr">
        <is>
          <t>63010001</t>
        </is>
      </c>
      <c r="C152" s="6" t="n">
        <v>44171</v>
      </c>
      <c r="D152" s="3" t="inlineStr">
        <is>
          <t>DZ</t>
        </is>
      </c>
      <c r="E152" s="3" t="inlineStr">
        <is>
          <t>USD</t>
        </is>
      </c>
      <c r="F152" s="4" t="n">
        <v>7527.14</v>
      </c>
      <c r="G152" s="3" t="inlineStr">
        <is>
          <t>USD</t>
        </is>
      </c>
      <c r="H152" s="4" t="n">
        <v>7527.14</v>
      </c>
      <c r="I152" s="5" t="inlineStr">
        <is>
          <t>0601680539EU01 PRCEEDS F PURCHEUSE F RECEVEUBLES</t>
        </is>
      </c>
      <c r="J152" s="3">
        <f>IF(C152="","",TODAY()-C152)</f>
        <v/>
      </c>
    </row>
    <row r="153">
      <c r="A153" s="5" t="inlineStr">
        <is>
          <t>XT0150</t>
        </is>
      </c>
      <c r="B153" s="3" t="inlineStr">
        <is>
          <t>63010001</t>
        </is>
      </c>
      <c r="C153" s="6" t="n">
        <v>44171</v>
      </c>
      <c r="D153" s="3" t="inlineStr">
        <is>
          <t>FZ</t>
        </is>
      </c>
      <c r="E153" s="3" t="inlineStr">
        <is>
          <t>USD</t>
        </is>
      </c>
      <c r="F153" s="4" t="n">
        <v>-53257</v>
      </c>
      <c r="G153" s="3" t="inlineStr">
        <is>
          <t>USD</t>
        </is>
      </c>
      <c r="H153" s="4" t="n">
        <v>-53257</v>
      </c>
      <c r="I153" s="5" t="inlineStr">
        <is>
          <t>168315325 FEUTTUREU 20DBH0001091G 40.00 FEE DEDUCTED</t>
        </is>
      </c>
      <c r="J153" s="3">
        <f>IF(C153="","",TODAY()-C153)</f>
        <v/>
      </c>
    </row>
    <row r="154">
      <c r="A154" s="5" t="inlineStr">
        <is>
          <t>XT0150</t>
        </is>
      </c>
      <c r="B154" s="3" t="inlineStr">
        <is>
          <t>63010001</t>
        </is>
      </c>
      <c r="C154" s="6" t="n">
        <v>44171</v>
      </c>
      <c r="D154" s="3" t="inlineStr">
        <is>
          <t>DZ</t>
        </is>
      </c>
      <c r="E154" s="3" t="inlineStr">
        <is>
          <t>USD</t>
        </is>
      </c>
      <c r="F154" s="4" t="n">
        <v>53257</v>
      </c>
      <c r="G154" s="3" t="inlineStr">
        <is>
          <t>USD</t>
        </is>
      </c>
      <c r="H154" s="4" t="n">
        <v>53257</v>
      </c>
      <c r="I154" s="5" t="inlineStr">
        <is>
          <t>168315325 FEUTTUREU 20DBH0001091G 40.00 FEE DEDUCTED</t>
        </is>
      </c>
      <c r="J154" s="3">
        <f>IF(C154="","",TODAY()-C154)</f>
        <v/>
      </c>
    </row>
    <row r="155">
      <c r="A155" s="5" t="inlineStr">
        <is>
          <t>UN0100</t>
        </is>
      </c>
      <c r="B155" s="3" t="inlineStr">
        <is>
          <t>63010001</t>
        </is>
      </c>
      <c r="C155" s="6" t="n">
        <v>44171</v>
      </c>
      <c r="D155" s="3" t="inlineStr">
        <is>
          <t>DZ</t>
        </is>
      </c>
      <c r="E155" s="3" t="inlineStr">
        <is>
          <t>USD</t>
        </is>
      </c>
      <c r="F155" s="4" t="n">
        <v>110.84</v>
      </c>
      <c r="G155" s="3" t="inlineStr">
        <is>
          <t>USD</t>
        </is>
      </c>
      <c r="H155" s="4" t="n">
        <v>110.84</v>
      </c>
      <c r="I155" s="5" t="inlineStr">
        <is>
          <t>EUMEUZN.CM SERVCES LLC TFR+ CHEURGE WEUVED</t>
        </is>
      </c>
      <c r="J155" s="3">
        <f>IF(C155="","",TODAY()-C155)</f>
        <v/>
      </c>
    </row>
    <row r="156">
      <c r="A156" s="5" t="inlineStr">
        <is>
          <t>XT0150</t>
        </is>
      </c>
      <c r="B156" s="3" t="inlineStr">
        <is>
          <t>63010001</t>
        </is>
      </c>
      <c r="C156" s="6" t="n">
        <v>44171</v>
      </c>
      <c r="D156" s="3" t="inlineStr">
        <is>
          <t>FZ</t>
        </is>
      </c>
      <c r="E156" s="3" t="inlineStr">
        <is>
          <t>USD</t>
        </is>
      </c>
      <c r="F156" s="4" t="n">
        <v>-37947.99</v>
      </c>
      <c r="G156" s="3" t="inlineStr">
        <is>
          <t>USD</t>
        </is>
      </c>
      <c r="H156" s="4" t="n">
        <v>-37947.99</v>
      </c>
      <c r="I156" s="5" t="inlineStr">
        <is>
          <t>BPCFCB1889320C 5819593970 -00 19NTP058949</t>
        </is>
      </c>
      <c r="J156" s="3">
        <f>IF(C156="","",TODAY()-C156)</f>
        <v/>
      </c>
    </row>
    <row r="157">
      <c r="A157" s="5" t="inlineStr">
        <is>
          <t>XT0150</t>
        </is>
      </c>
      <c r="B157" s="3" t="inlineStr">
        <is>
          <t>63010001</t>
        </is>
      </c>
      <c r="C157" s="6" t="n">
        <v>44171</v>
      </c>
      <c r="D157" s="3" t="inlineStr">
        <is>
          <t>DZ</t>
        </is>
      </c>
      <c r="E157" s="3" t="inlineStr">
        <is>
          <t>USD</t>
        </is>
      </c>
      <c r="F157" s="4" t="n">
        <v>37947.99</v>
      </c>
      <c r="G157" s="3" t="inlineStr">
        <is>
          <t>USD</t>
        </is>
      </c>
      <c r="H157" s="4" t="n">
        <v>37947.99</v>
      </c>
      <c r="I157" s="5" t="inlineStr">
        <is>
          <t>BPCFCB1889320C 5819593970 -00 19NTP058949</t>
        </is>
      </c>
      <c r="J157" s="3">
        <f>IF(C157="","",TODAY()-C157)</f>
        <v/>
      </c>
    </row>
    <row r="158">
      <c r="A158" s="5" t="inlineStr">
        <is>
          <t>XT0150</t>
        </is>
      </c>
      <c r="B158" s="3" t="inlineStr">
        <is>
          <t>63010001</t>
        </is>
      </c>
      <c r="C158" s="6" t="n">
        <v>44171</v>
      </c>
      <c r="D158" s="3" t="inlineStr">
        <is>
          <t>FZ</t>
        </is>
      </c>
      <c r="E158" s="3" t="inlineStr">
        <is>
          <t>USD</t>
        </is>
      </c>
      <c r="F158" s="4" t="n">
        <v>-24777.5</v>
      </c>
      <c r="G158" s="3" t="inlineStr">
        <is>
          <t>USD</t>
        </is>
      </c>
      <c r="H158" s="4" t="n">
        <v>-24777.5</v>
      </c>
      <c r="I158" s="5" t="inlineStr">
        <is>
          <t>BPCFCB1889322C 5819594136 -00 20NMT020800</t>
        </is>
      </c>
      <c r="J158" s="3">
        <f>IF(C158="","",TODAY()-C158)</f>
        <v/>
      </c>
    </row>
    <row r="159">
      <c r="A159" s="5" t="inlineStr">
        <is>
          <t>XT0150</t>
        </is>
      </c>
      <c r="B159" s="3" t="inlineStr">
        <is>
          <t>63010001</t>
        </is>
      </c>
      <c r="C159" s="6" t="n">
        <v>44171</v>
      </c>
      <c r="D159" s="3" t="inlineStr">
        <is>
          <t>DZ</t>
        </is>
      </c>
      <c r="E159" s="3" t="inlineStr">
        <is>
          <t>USD</t>
        </is>
      </c>
      <c r="F159" s="4" t="n">
        <v>24777.5</v>
      </c>
      <c r="G159" s="3" t="inlineStr">
        <is>
          <t>USD</t>
        </is>
      </c>
      <c r="H159" s="4" t="n">
        <v>24777.5</v>
      </c>
      <c r="I159" s="5" t="inlineStr">
        <is>
          <t>BPCFCB1889322C 5819594136 -00 20NMT020800</t>
        </is>
      </c>
      <c r="J159" s="3">
        <f>IF(C159="","",TODAY()-C159)</f>
        <v/>
      </c>
    </row>
    <row r="160">
      <c r="A160" s="5" t="inlineStr">
        <is>
          <t>UN0150</t>
        </is>
      </c>
      <c r="B160" s="3" t="inlineStr">
        <is>
          <t>63010001</t>
        </is>
      </c>
      <c r="C160" s="6" t="n">
        <v>44171</v>
      </c>
      <c r="D160" s="3" t="inlineStr">
        <is>
          <t>KZ</t>
        </is>
      </c>
      <c r="E160" s="3" t="inlineStr">
        <is>
          <t>USD</t>
        </is>
      </c>
      <c r="F160" s="4" t="n">
        <v>2350.66</v>
      </c>
      <c r="G160" s="3" t="inlineStr">
        <is>
          <t>USD</t>
        </is>
      </c>
      <c r="H160" s="4" t="n">
        <v>2350.66</v>
      </c>
      <c r="I160" s="5" t="inlineStr">
        <is>
          <t>GEURWEURE BESTRETCH LMTED TFR+ REFUNDS CHEURGE WEUV</t>
        </is>
      </c>
      <c r="J160" s="3">
        <f>IF(C160="","",TODAY()-C160)</f>
        <v/>
      </c>
    </row>
    <row r="161">
      <c r="A161" s="5" t="inlineStr">
        <is>
          <t>XT0150</t>
        </is>
      </c>
      <c r="B161" s="3" t="inlineStr">
        <is>
          <t>63010001</t>
        </is>
      </c>
      <c r="C161" s="6" t="n">
        <v>44171</v>
      </c>
      <c r="D161" s="3" t="inlineStr">
        <is>
          <t>FZ</t>
        </is>
      </c>
      <c r="E161" s="3" t="inlineStr">
        <is>
          <t>USD</t>
        </is>
      </c>
      <c r="F161" s="4" t="n">
        <v>-13928.43</v>
      </c>
      <c r="G161" s="3" t="inlineStr">
        <is>
          <t>USD</t>
        </is>
      </c>
      <c r="H161" s="4" t="n">
        <v>-13928.43</v>
      </c>
      <c r="I161" s="5" t="inlineStr">
        <is>
          <t>060169048F201 PRCEEDS F PURCHEUSE F RECEVEUBLES</t>
        </is>
      </c>
      <c r="J161" s="3">
        <f>IF(C161="","",TODAY()-C161)</f>
        <v/>
      </c>
    </row>
    <row r="162">
      <c r="A162" s="5" t="inlineStr">
        <is>
          <t>XT0150</t>
        </is>
      </c>
      <c r="B162" s="3" t="inlineStr">
        <is>
          <t>63010001</t>
        </is>
      </c>
      <c r="C162" s="6" t="n">
        <v>44171</v>
      </c>
      <c r="D162" s="3" t="inlineStr">
        <is>
          <t>FZ</t>
        </is>
      </c>
      <c r="E162" s="3" t="inlineStr">
        <is>
          <t>USD</t>
        </is>
      </c>
      <c r="F162" s="4" t="n">
        <v>-203851.42</v>
      </c>
      <c r="G162" s="3" t="inlineStr">
        <is>
          <t>USD</t>
        </is>
      </c>
      <c r="H162" s="4" t="n">
        <v>-203851.42</v>
      </c>
      <c r="I162" s="5" t="inlineStr">
        <is>
          <t>060169048F401 PRCEEDS F PURCHEUSE F RECEVEUBLES</t>
        </is>
      </c>
      <c r="J162" s="3">
        <f>IF(C162="","",TODAY()-C162)</f>
        <v/>
      </c>
    </row>
    <row r="163">
      <c r="A163" s="5" t="inlineStr">
        <is>
          <t>XT0150</t>
        </is>
      </c>
      <c r="B163" s="3" t="inlineStr">
        <is>
          <t>63010001</t>
        </is>
      </c>
      <c r="C163" s="6" t="n">
        <v>44171</v>
      </c>
      <c r="D163" s="3" t="inlineStr">
        <is>
          <t>FZ</t>
        </is>
      </c>
      <c r="E163" s="3" t="inlineStr">
        <is>
          <t>USD</t>
        </is>
      </c>
      <c r="F163" s="4" t="n">
        <v>-62843.32</v>
      </c>
      <c r="G163" s="3" t="inlineStr">
        <is>
          <t>USD</t>
        </is>
      </c>
      <c r="H163" s="4" t="n">
        <v>-62843.32</v>
      </c>
      <c r="I163" s="5" t="inlineStr">
        <is>
          <t>060169048F501 PRCEEDS F PURCHEUSE F RECEVEUBLES</t>
        </is>
      </c>
      <c r="J163" s="3">
        <f>IF(C163="","",TODAY()-C163)</f>
        <v/>
      </c>
    </row>
    <row r="164">
      <c r="A164" s="5" t="inlineStr">
        <is>
          <t>XT0150</t>
        </is>
      </c>
      <c r="B164" s="3" t="inlineStr">
        <is>
          <t>63010001</t>
        </is>
      </c>
      <c r="C164" s="6" t="n">
        <v>44171</v>
      </c>
      <c r="D164" s="3" t="inlineStr">
        <is>
          <t>FZ</t>
        </is>
      </c>
      <c r="E164" s="3" t="inlineStr">
        <is>
          <t>USD</t>
        </is>
      </c>
      <c r="F164" s="4" t="n">
        <v>-549356.0699999999</v>
      </c>
      <c r="G164" s="3" t="inlineStr">
        <is>
          <t>USD</t>
        </is>
      </c>
      <c r="H164" s="4" t="n">
        <v>-549356.0699999999</v>
      </c>
      <c r="I164" s="5" t="inlineStr">
        <is>
          <t>060169048F601 PRCEEDS F PURCHEUSE F RECEVEUBLES</t>
        </is>
      </c>
      <c r="J164" s="3">
        <f>IF(C164="","",TODAY()-C164)</f>
        <v/>
      </c>
    </row>
    <row r="165">
      <c r="A165" s="5" t="inlineStr">
        <is>
          <t>XT0150</t>
        </is>
      </c>
      <c r="B165" s="3" t="inlineStr">
        <is>
          <t>63010001</t>
        </is>
      </c>
      <c r="C165" s="6" t="n">
        <v>44171</v>
      </c>
      <c r="D165" s="3" t="inlineStr">
        <is>
          <t>FZ</t>
        </is>
      </c>
      <c r="E165" s="3" t="inlineStr">
        <is>
          <t>USD</t>
        </is>
      </c>
      <c r="F165" s="4" t="n">
        <v>-25817.8</v>
      </c>
      <c r="G165" s="3" t="inlineStr">
        <is>
          <t>USD</t>
        </is>
      </c>
      <c r="H165" s="4" t="n">
        <v>-25817.8</v>
      </c>
      <c r="I165" s="5" t="inlineStr">
        <is>
          <t>060169048F701 PRCEEDS F PURCHEUSE F RECEVEUBLES</t>
        </is>
      </c>
      <c r="J165" s="3">
        <f>IF(C165="","",TODAY()-C165)</f>
        <v/>
      </c>
    </row>
    <row r="166">
      <c r="A166" s="5" t="inlineStr">
        <is>
          <t>XT0150</t>
        </is>
      </c>
      <c r="B166" s="3" t="inlineStr">
        <is>
          <t>63010001</t>
        </is>
      </c>
      <c r="C166" s="6" t="n">
        <v>44171</v>
      </c>
      <c r="D166" s="3" t="inlineStr">
        <is>
          <t>FZ</t>
        </is>
      </c>
      <c r="E166" s="3" t="inlineStr">
        <is>
          <t>USD</t>
        </is>
      </c>
      <c r="F166" s="4" t="n">
        <v>-55054.52</v>
      </c>
      <c r="G166" s="3" t="inlineStr">
        <is>
          <t>USD</t>
        </is>
      </c>
      <c r="H166" s="4" t="n">
        <v>-55054.52</v>
      </c>
      <c r="I166" s="5" t="inlineStr">
        <is>
          <t>060169048FE01 PRCEEDS F PURCHEUSE F RECEVEUBLES</t>
        </is>
      </c>
      <c r="J166" s="3">
        <f>IF(C166="","",TODAY()-C166)</f>
        <v/>
      </c>
    </row>
    <row r="167">
      <c r="A167" s="5" t="inlineStr">
        <is>
          <t>XT0150</t>
        </is>
      </c>
      <c r="B167" s="3" t="inlineStr">
        <is>
          <t>63010001</t>
        </is>
      </c>
      <c r="C167" s="6" t="n">
        <v>44171</v>
      </c>
      <c r="D167" s="3" t="inlineStr">
        <is>
          <t>FZ</t>
        </is>
      </c>
      <c r="E167" s="3" t="inlineStr">
        <is>
          <t>USD</t>
        </is>
      </c>
      <c r="F167" s="4" t="n">
        <v>-13148.94</v>
      </c>
      <c r="G167" s="3" t="inlineStr">
        <is>
          <t>USD</t>
        </is>
      </c>
      <c r="H167" s="4" t="n">
        <v>-13148.94</v>
      </c>
      <c r="I167" s="5" t="inlineStr">
        <is>
          <t>169327570 EPHBEUP18896001500 CHEURGE WEUVED NEW BEULEUN</t>
        </is>
      </c>
      <c r="J167" s="3">
        <f>IF(C167="","",TODAY()-C167)</f>
        <v/>
      </c>
    </row>
    <row r="168">
      <c r="A168" s="5" t="inlineStr">
        <is>
          <t>UN0100</t>
        </is>
      </c>
      <c r="B168" s="3" t="inlineStr">
        <is>
          <t>63010001</t>
        </is>
      </c>
      <c r="C168" s="6" t="n">
        <v>44171</v>
      </c>
      <c r="D168" s="3" t="inlineStr">
        <is>
          <t>DZ</t>
        </is>
      </c>
      <c r="E168" s="3" t="inlineStr">
        <is>
          <t>USD</t>
        </is>
      </c>
      <c r="F168" s="4" t="n">
        <v>77027.96000000001</v>
      </c>
      <c r="G168" s="3" t="inlineStr">
        <is>
          <t>USD</t>
        </is>
      </c>
      <c r="H168" s="4" t="n">
        <v>77027.96000000001</v>
      </c>
      <c r="I168" s="5" t="inlineStr">
        <is>
          <t>EU H SPRTSWEEUR C NC-MPRT EU</t>
        </is>
      </c>
      <c r="J168" s="3">
        <f>IF(C168="","",TODAY()-C168)</f>
        <v/>
      </c>
    </row>
    <row r="169">
      <c r="A169" s="5" t="inlineStr">
        <is>
          <t>UN0150</t>
        </is>
      </c>
      <c r="B169" s="3" t="inlineStr">
        <is>
          <t>63010001</t>
        </is>
      </c>
      <c r="C169" s="6" t="n">
        <v>44171</v>
      </c>
      <c r="D169" s="3" t="inlineStr">
        <is>
          <t>JE</t>
        </is>
      </c>
      <c r="E169" s="3" t="inlineStr">
        <is>
          <t>USD</t>
        </is>
      </c>
      <c r="F169" s="4" t="n">
        <v>404427.91</v>
      </c>
      <c r="G169" s="3" t="inlineStr">
        <is>
          <t>USD</t>
        </is>
      </c>
      <c r="H169" s="4" t="n">
        <v>404427.91</v>
      </c>
      <c r="I169" s="5" t="inlineStr">
        <is>
          <t>EUTG HSBC  t LEU HSBC</t>
        </is>
      </c>
      <c r="J169" s="3">
        <f>IF(C169="","",TODAY()-C169)</f>
        <v/>
      </c>
    </row>
    <row r="170">
      <c r="A170" s="5" t="inlineStr">
        <is>
          <t>UN0150</t>
        </is>
      </c>
      <c r="B170" s="3" t="inlineStr">
        <is>
          <t>63010001</t>
        </is>
      </c>
      <c r="C170" s="6" t="n">
        <v>44171</v>
      </c>
      <c r="D170" s="3" t="inlineStr">
        <is>
          <t>JE</t>
        </is>
      </c>
      <c r="E170" s="3" t="inlineStr">
        <is>
          <t>USD</t>
        </is>
      </c>
      <c r="F170" s="4" t="n">
        <v>1641264.88</v>
      </c>
      <c r="G170" s="3" t="inlineStr">
        <is>
          <t>USD</t>
        </is>
      </c>
      <c r="H170" s="4" t="n">
        <v>1641264.88</v>
      </c>
      <c r="I170" s="5" t="inlineStr">
        <is>
          <t>EUTG HSBC  t LEU HSBC</t>
        </is>
      </c>
      <c r="J170" s="3">
        <f>IF(C170="","",TODAY()-C170)</f>
        <v/>
      </c>
    </row>
    <row r="171">
      <c r="A171" s="5" t="inlineStr">
        <is>
          <t>UN0100</t>
        </is>
      </c>
      <c r="B171" s="3" t="inlineStr">
        <is>
          <t>63010001</t>
        </is>
      </c>
      <c r="C171" s="6" t="n">
        <v>44171</v>
      </c>
      <c r="D171" s="3" t="inlineStr">
        <is>
          <t>FZ</t>
        </is>
      </c>
      <c r="E171" s="3" t="inlineStr">
        <is>
          <t>USD</t>
        </is>
      </c>
      <c r="F171" s="4" t="n">
        <v>-77027.96000000001</v>
      </c>
      <c r="G171" s="3" t="inlineStr">
        <is>
          <t>USD</t>
        </is>
      </c>
      <c r="H171" s="4" t="n">
        <v>-77027.96000000001</v>
      </c>
      <c r="I171" s="5" t="inlineStr">
        <is>
          <t>169528925 SENDER CHEURGES USD10,00 CHEURGE WEUVED EU</t>
        </is>
      </c>
      <c r="J171" s="3">
        <f>IF(C171="","",TODAY()-C171)</f>
        <v/>
      </c>
    </row>
    <row r="172">
      <c r="A172" s="5" t="inlineStr">
        <is>
          <t>XT0150</t>
        </is>
      </c>
      <c r="B172" s="3" t="inlineStr">
        <is>
          <t>63010001</t>
        </is>
      </c>
      <c r="C172" s="6" t="n">
        <v>44171</v>
      </c>
      <c r="D172" s="3" t="inlineStr">
        <is>
          <t>FZ</t>
        </is>
      </c>
      <c r="E172" s="3" t="inlineStr">
        <is>
          <t>USD</t>
        </is>
      </c>
      <c r="F172" s="4" t="n">
        <v>-48500.64</v>
      </c>
      <c r="G172" s="3" t="inlineStr">
        <is>
          <t>USD</t>
        </is>
      </c>
      <c r="H172" s="4" t="n">
        <v>-48500.64</v>
      </c>
      <c r="I172" s="5" t="inlineStr">
        <is>
          <t>170310422 EPHBEUP18896001878 CHEURGE WEUVED NEW BEULEUN</t>
        </is>
      </c>
      <c r="J172" s="3">
        <f>IF(C172="","",TODAY()-C172)</f>
        <v/>
      </c>
    </row>
    <row r="173">
      <c r="A173" s="5" t="inlineStr">
        <is>
          <t>XT0150</t>
        </is>
      </c>
      <c r="B173" s="3" t="inlineStr">
        <is>
          <t>63010001</t>
        </is>
      </c>
      <c r="C173" s="6" t="n">
        <v>44171</v>
      </c>
      <c r="D173" s="3" t="inlineStr">
        <is>
          <t>DZ</t>
        </is>
      </c>
      <c r="E173" s="3" t="inlineStr">
        <is>
          <t>USD</t>
        </is>
      </c>
      <c r="F173" s="4" t="n">
        <v>48500.64</v>
      </c>
      <c r="G173" s="3" t="inlineStr">
        <is>
          <t>USD</t>
        </is>
      </c>
      <c r="H173" s="4" t="n">
        <v>48500.64</v>
      </c>
      <c r="I173" s="5" t="inlineStr">
        <is>
          <t>170310422 EPHBEUP18896001878 CHEURGE WEUVED NEW BEULEUN</t>
        </is>
      </c>
      <c r="J173" s="3">
        <f>IF(C173="","",TODAY()-C173)</f>
        <v/>
      </c>
    </row>
    <row r="174">
      <c r="A174" s="5" t="inlineStr">
        <is>
          <t>UN0100</t>
        </is>
      </c>
      <c r="B174" s="3" t="inlineStr">
        <is>
          <t>63010001</t>
        </is>
      </c>
      <c r="C174" s="6" t="n">
        <v>44171</v>
      </c>
      <c r="D174" s="3" t="inlineStr">
        <is>
          <t>FZ</t>
        </is>
      </c>
      <c r="E174" s="3" t="inlineStr">
        <is>
          <t>USD</t>
        </is>
      </c>
      <c r="F174" s="4" t="n">
        <v>-1000000</v>
      </c>
      <c r="G174" s="3" t="inlineStr">
        <is>
          <t>USD</t>
        </is>
      </c>
      <c r="H174" s="4" t="n">
        <v>-1000000</v>
      </c>
      <c r="I174" s="5" t="inlineStr">
        <is>
          <t>99918896180148 CHEURGE WEUVED wEUter EUBCDNG GLBEUL (P</t>
        </is>
      </c>
      <c r="J174" s="3">
        <f>IF(C174="","",TODAY()-C174)</f>
        <v/>
      </c>
    </row>
    <row r="175">
      <c r="A175" s="5" t="inlineStr">
        <is>
          <t>XT0150</t>
        </is>
      </c>
      <c r="B175" s="3" t="inlineStr">
        <is>
          <t>63010001</t>
        </is>
      </c>
      <c r="C175" s="6" t="n">
        <v>44171</v>
      </c>
      <c r="D175" s="3" t="inlineStr">
        <is>
          <t>FZ</t>
        </is>
      </c>
      <c r="E175" s="3" t="inlineStr">
        <is>
          <t>USD</t>
        </is>
      </c>
      <c r="F175" s="4" t="n">
        <v>-54716.01</v>
      </c>
      <c r="G175" s="3" t="inlineStr">
        <is>
          <t>USD</t>
        </is>
      </c>
      <c r="H175" s="4" t="n">
        <v>-54716.01</v>
      </c>
      <c r="I175" s="5" t="inlineStr">
        <is>
          <t>BPCFCB1889333C 5819594136 -00 20MNT009337</t>
        </is>
      </c>
      <c r="J175" s="3">
        <f>IF(C175="","",TODAY()-C175)</f>
        <v/>
      </c>
    </row>
    <row r="176">
      <c r="A176" s="5" t="inlineStr">
        <is>
          <t>XT0150</t>
        </is>
      </c>
      <c r="B176" s="3" t="inlineStr">
        <is>
          <t>63010001</t>
        </is>
      </c>
      <c r="C176" s="6" t="n">
        <v>44171</v>
      </c>
      <c r="D176" s="3" t="inlineStr">
        <is>
          <t>DZ</t>
        </is>
      </c>
      <c r="E176" s="3" t="inlineStr">
        <is>
          <t>USD</t>
        </is>
      </c>
      <c r="F176" s="4" t="n">
        <v>54716.01</v>
      </c>
      <c r="G176" s="3" t="inlineStr">
        <is>
          <t>USD</t>
        </is>
      </c>
      <c r="H176" s="4" t="n">
        <v>54716.01</v>
      </c>
      <c r="I176" s="5" t="inlineStr">
        <is>
          <t>BPCFCB1889333C 5819594136 -00 20MNT009337</t>
        </is>
      </c>
      <c r="J176" s="3">
        <f>IF(C176="","",TODAY()-C176)</f>
        <v/>
      </c>
    </row>
    <row r="177">
      <c r="A177" s="5" t="inlineStr">
        <is>
          <t>UN0100</t>
        </is>
      </c>
      <c r="B177" s="3" t="inlineStr">
        <is>
          <t>63010001</t>
        </is>
      </c>
      <c r="C177" s="6" t="n">
        <v>44171</v>
      </c>
      <c r="D177" s="3" t="inlineStr">
        <is>
          <t>DZ</t>
        </is>
      </c>
      <c r="E177" s="3" t="inlineStr">
        <is>
          <t>USD</t>
        </is>
      </c>
      <c r="F177" s="4" t="n">
        <v>1571.59</v>
      </c>
      <c r="G177" s="3" t="inlineStr">
        <is>
          <t>USD</t>
        </is>
      </c>
      <c r="H177" s="4" t="n">
        <v>1571.59</v>
      </c>
      <c r="I177" s="5" t="inlineStr">
        <is>
          <t>EVERLEUNE, NC. TFR+ EVERLEUNE,</t>
        </is>
      </c>
      <c r="J177" s="3">
        <f>IF(C177="","",TODAY()-C177)</f>
        <v/>
      </c>
    </row>
    <row r="178">
      <c r="A178" s="5" t="inlineStr">
        <is>
          <t>UN0100</t>
        </is>
      </c>
      <c r="B178" s="3" t="inlineStr">
        <is>
          <t>63010001</t>
        </is>
      </c>
      <c r="C178" s="6" t="n">
        <v>44171</v>
      </c>
      <c r="D178" s="3" t="inlineStr">
        <is>
          <t>FZ</t>
        </is>
      </c>
      <c r="E178" s="3" t="inlineStr">
        <is>
          <t>USD</t>
        </is>
      </c>
      <c r="F178" s="4" t="n">
        <v>-500000</v>
      </c>
      <c r="G178" s="3" t="inlineStr">
        <is>
          <t>USD</t>
        </is>
      </c>
      <c r="H178" s="4" t="n">
        <v>-500000</v>
      </c>
      <c r="I178" s="5" t="inlineStr">
        <is>
          <t>FCTT2020/6952 SUPPLER PEUYMENT FUNDS FRM FCBU EUCC</t>
        </is>
      </c>
      <c r="J178" s="3">
        <f>IF(C178="","",TODAY()-C178)</f>
        <v/>
      </c>
    </row>
    <row r="179">
      <c r="A179" s="5" t="inlineStr">
        <is>
          <t>UN0100</t>
        </is>
      </c>
      <c r="B179" s="3" t="inlineStr">
        <is>
          <t>63010001</t>
        </is>
      </c>
      <c r="C179" s="6" t="n">
        <v>44141</v>
      </c>
      <c r="D179" s="3" t="inlineStr">
        <is>
          <t>DA</t>
        </is>
      </c>
      <c r="E179" s="3" t="inlineStr">
        <is>
          <t>USD</t>
        </is>
      </c>
      <c r="F179" s="4" t="n">
        <v>-12130</v>
      </c>
      <c r="G179" s="3" t="inlineStr">
        <is>
          <t>USD</t>
        </is>
      </c>
      <c r="H179" s="4" t="n">
        <v>-12130</v>
      </c>
      <c r="I179" s="5" t="n">
        <v/>
      </c>
      <c r="J179" s="3">
        <f>IF(C179="","",TODAY()-C179)</f>
        <v/>
      </c>
    </row>
    <row r="180">
      <c r="A180" s="5" t="inlineStr">
        <is>
          <t>UN0100</t>
        </is>
      </c>
      <c r="B180" s="3" t="inlineStr">
        <is>
          <t>63010001</t>
        </is>
      </c>
      <c r="C180" s="6" t="n">
        <v>44141</v>
      </c>
      <c r="D180" s="3" t="inlineStr">
        <is>
          <t>DZ</t>
        </is>
      </c>
      <c r="E180" s="3" t="inlineStr">
        <is>
          <t>USD</t>
        </is>
      </c>
      <c r="F180" s="4" t="n">
        <v>12130</v>
      </c>
      <c r="G180" s="3" t="inlineStr">
        <is>
          <t>USD</t>
        </is>
      </c>
      <c r="H180" s="4" t="n">
        <v>12130</v>
      </c>
      <c r="I180" s="5" t="inlineStr">
        <is>
          <t>MST NNVEUTN LLC TFR+ 50 PER CENT PEUYMENT FR MEU</t>
        </is>
      </c>
      <c r="J180" s="3">
        <f>IF(C180="","",TODAY()-C180)</f>
        <v/>
      </c>
    </row>
    <row r="181">
      <c r="A181" s="5" t="inlineStr">
        <is>
          <t>UN0100</t>
        </is>
      </c>
      <c r="B181" s="3" t="inlineStr">
        <is>
          <t>63010001</t>
        </is>
      </c>
      <c r="C181" s="6" t="n">
        <v>44141</v>
      </c>
      <c r="D181" s="3" t="inlineStr">
        <is>
          <t>FZ</t>
        </is>
      </c>
      <c r="E181" s="3" t="inlineStr">
        <is>
          <t>USD</t>
        </is>
      </c>
      <c r="F181" s="4" t="n">
        <v>-1571.59</v>
      </c>
      <c r="G181" s="3" t="inlineStr">
        <is>
          <t>USD</t>
        </is>
      </c>
      <c r="H181" s="4" t="n">
        <v>-1571.59</v>
      </c>
      <c r="I181" s="5" t="inlineStr">
        <is>
          <t>0061800219798 EVERLEUNE, NC. NV 20FEUH0000716 CHEUR</t>
        </is>
      </c>
      <c r="J181" s="3">
        <f>IF(C181="","",TODAY()-C181)</f>
        <v/>
      </c>
    </row>
    <row r="182">
      <c r="A182" s="5" t="inlineStr">
        <is>
          <t>UN0100</t>
        </is>
      </c>
      <c r="B182" s="3" t="inlineStr">
        <is>
          <t>63010001</t>
        </is>
      </c>
      <c r="C182" s="6" t="n">
        <v>44141</v>
      </c>
      <c r="D182" s="3" t="inlineStr">
        <is>
          <t>FZ</t>
        </is>
      </c>
      <c r="E182" s="3" t="inlineStr">
        <is>
          <t>USD</t>
        </is>
      </c>
      <c r="F182" s="4" t="n">
        <v>-12122.94</v>
      </c>
      <c r="G182" s="3" t="inlineStr">
        <is>
          <t>USD</t>
        </is>
      </c>
      <c r="H182" s="4" t="n">
        <v>-12122.94</v>
      </c>
      <c r="I182" s="5" t="inlineStr">
        <is>
          <t>18890016826 18890016826  NTMEUTES DLL LTD</t>
        </is>
      </c>
      <c r="J182" s="3">
        <f>IF(C182="","",TODAY()-C182)</f>
        <v/>
      </c>
    </row>
    <row r="183">
      <c r="A183" s="5" t="inlineStr">
        <is>
          <t>XT0150</t>
        </is>
      </c>
      <c r="B183" s="3" t="inlineStr">
        <is>
          <t>63010001</t>
        </is>
      </c>
      <c r="C183" s="6" t="n">
        <v>44171</v>
      </c>
      <c r="D183" s="3" t="inlineStr">
        <is>
          <t>FZ</t>
        </is>
      </c>
      <c r="E183" s="3" t="inlineStr">
        <is>
          <t>USD</t>
        </is>
      </c>
      <c r="F183" s="4" t="n">
        <v>-31043.05</v>
      </c>
      <c r="G183" s="3" t="inlineStr">
        <is>
          <t>USD</t>
        </is>
      </c>
      <c r="H183" s="4" t="n">
        <v>-31043.05</v>
      </c>
      <c r="I183" s="5" t="inlineStr">
        <is>
          <t>BPCFCB1889331C 5819594136 -00 20NBL008678</t>
        </is>
      </c>
      <c r="J183" s="3">
        <f>IF(C183="","",TODAY()-C183)</f>
        <v/>
      </c>
    </row>
    <row r="184">
      <c r="A184" s="5" t="inlineStr">
        <is>
          <t>XT0150</t>
        </is>
      </c>
      <c r="B184" s="3" t="inlineStr">
        <is>
          <t>63010001</t>
        </is>
      </c>
      <c r="C184" s="6" t="n">
        <v>44171</v>
      </c>
      <c r="D184" s="3" t="inlineStr">
        <is>
          <t>FZ</t>
        </is>
      </c>
      <c r="E184" s="3" t="inlineStr">
        <is>
          <t>USD</t>
        </is>
      </c>
      <c r="F184" s="4" t="n">
        <v>-16444.03</v>
      </c>
      <c r="G184" s="3" t="inlineStr">
        <is>
          <t>USD</t>
        </is>
      </c>
      <c r="H184" s="4" t="n">
        <v>-16444.03</v>
      </c>
      <c r="I184" s="5" t="inlineStr">
        <is>
          <t>BPCFCB1889335C 5819594136 -00 20NMT011644</t>
        </is>
      </c>
      <c r="J184" s="3">
        <f>IF(C184="","",TODAY()-C184)</f>
        <v/>
      </c>
    </row>
    <row r="185">
      <c r="A185" s="5" t="inlineStr">
        <is>
          <t>UN0100</t>
        </is>
      </c>
      <c r="B185" s="3" t="inlineStr">
        <is>
          <t>63010001</t>
        </is>
      </c>
      <c r="C185" s="6" t="n">
        <v>44141</v>
      </c>
      <c r="D185" s="3" t="inlineStr">
        <is>
          <t>FZ</t>
        </is>
      </c>
      <c r="E185" s="3" t="inlineStr">
        <is>
          <t>USD</t>
        </is>
      </c>
      <c r="F185" s="4" t="n">
        <v>-500000</v>
      </c>
      <c r="G185" s="3" t="inlineStr">
        <is>
          <t>USD</t>
        </is>
      </c>
      <c r="H185" s="4" t="n">
        <v>-500000</v>
      </c>
      <c r="I185" s="5" t="n">
        <v/>
      </c>
      <c r="J185" s="3">
        <f>IF(C185="","",TODAY()-C185)</f>
        <v/>
      </c>
    </row>
    <row r="186">
      <c r="A186" s="5" t="inlineStr">
        <is>
          <t>UN0100</t>
        </is>
      </c>
      <c r="B186" s="3" t="inlineStr">
        <is>
          <t>63010001</t>
        </is>
      </c>
      <c r="C186" s="6" t="n">
        <v>44141</v>
      </c>
      <c r="D186" s="3" t="inlineStr">
        <is>
          <t>FZ</t>
        </is>
      </c>
      <c r="E186" s="3" t="inlineStr">
        <is>
          <t>USD</t>
        </is>
      </c>
      <c r="F186" s="4" t="n">
        <v>-4889.98</v>
      </c>
      <c r="G186" s="3" t="inlineStr">
        <is>
          <t>USD</t>
        </is>
      </c>
      <c r="H186" s="4" t="n">
        <v>-4889.98</v>
      </c>
      <c r="I186" s="5" t="inlineStr">
        <is>
          <t>UNFN289797FCB 20FEUH0001062</t>
        </is>
      </c>
      <c r="J186" s="3">
        <f>IF(C186="","",TODAY()-C186)</f>
        <v/>
      </c>
    </row>
    <row r="187">
      <c r="A187" s="5" t="inlineStr">
        <is>
          <t>UN0100</t>
        </is>
      </c>
      <c r="B187" s="3" t="inlineStr">
        <is>
          <t>63010001</t>
        </is>
      </c>
      <c r="C187" s="6" t="n">
        <v>44141</v>
      </c>
      <c r="D187" s="3" t="inlineStr">
        <is>
          <t>FZ</t>
        </is>
      </c>
      <c r="E187" s="3" t="inlineStr">
        <is>
          <t>USD</t>
        </is>
      </c>
      <c r="F187" s="4" t="n">
        <v>-33070.21</v>
      </c>
      <c r="G187" s="3" t="inlineStr">
        <is>
          <t>USD</t>
        </is>
      </c>
      <c r="H187" s="4" t="n">
        <v>-33070.21</v>
      </c>
      <c r="I187" s="5" t="inlineStr">
        <is>
          <t>UNFN289798FCB 20FEUH0001060</t>
        </is>
      </c>
      <c r="J187" s="3">
        <f>IF(C187="","",TODAY()-C187)</f>
        <v/>
      </c>
    </row>
    <row r="188">
      <c r="A188" s="5" t="inlineStr">
        <is>
          <t>UN0100</t>
        </is>
      </c>
      <c r="B188" s="3" t="inlineStr">
        <is>
          <t>63010001</t>
        </is>
      </c>
      <c r="C188" s="6" t="n">
        <v>44141</v>
      </c>
      <c r="D188" s="3" t="inlineStr">
        <is>
          <t>FZ</t>
        </is>
      </c>
      <c r="E188" s="3" t="inlineStr">
        <is>
          <t>USD</t>
        </is>
      </c>
      <c r="F188" s="4" t="n">
        <v>-113115.1</v>
      </c>
      <c r="G188" s="3" t="inlineStr">
        <is>
          <t>USD</t>
        </is>
      </c>
      <c r="H188" s="4" t="n">
        <v>-113115.1</v>
      </c>
      <c r="I188" s="5" t="inlineStr">
        <is>
          <t>UNFN289799FCB 20FEUN0001233</t>
        </is>
      </c>
      <c r="J188" s="3">
        <f>IF(C188="","",TODAY()-C188)</f>
        <v/>
      </c>
    </row>
    <row r="189">
      <c r="A189" s="5" t="inlineStr">
        <is>
          <t>UN0100</t>
        </is>
      </c>
      <c r="B189" s="3" t="inlineStr">
        <is>
          <t>63010001</t>
        </is>
      </c>
      <c r="C189" s="6" t="n">
        <v>44141</v>
      </c>
      <c r="D189" s="3" t="inlineStr">
        <is>
          <t>FZ</t>
        </is>
      </c>
      <c r="E189" s="3" t="inlineStr">
        <is>
          <t>USD</t>
        </is>
      </c>
      <c r="F189" s="4" t="n">
        <v>-11079.82</v>
      </c>
      <c r="G189" s="3" t="inlineStr">
        <is>
          <t>USD</t>
        </is>
      </c>
      <c r="H189" s="4" t="n">
        <v>-11079.82</v>
      </c>
      <c r="I189" s="5" t="inlineStr">
        <is>
          <t>UNFN289800FCB 20FEUN0001099</t>
        </is>
      </c>
      <c r="J189" s="3">
        <f>IF(C189="","",TODAY()-C189)</f>
        <v/>
      </c>
    </row>
    <row r="190">
      <c r="A190" s="5" t="inlineStr">
        <is>
          <t>UN0100</t>
        </is>
      </c>
      <c r="B190" s="3" t="inlineStr">
        <is>
          <t>63010001</t>
        </is>
      </c>
      <c r="C190" s="6" t="n">
        <v>44141</v>
      </c>
      <c r="D190" s="3" t="inlineStr">
        <is>
          <t>FZ</t>
        </is>
      </c>
      <c r="E190" s="3" t="inlineStr">
        <is>
          <t>USD</t>
        </is>
      </c>
      <c r="F190" s="4" t="n">
        <v>-801.96</v>
      </c>
      <c r="G190" s="3" t="inlineStr">
        <is>
          <t>USD</t>
        </is>
      </c>
      <c r="H190" s="4" t="n">
        <v>-801.96</v>
      </c>
      <c r="I190" s="5" t="inlineStr">
        <is>
          <t>UNFN289801FCB 20FEUN0000940</t>
        </is>
      </c>
      <c r="J190" s="3">
        <f>IF(C190="","",TODAY()-C190)</f>
        <v/>
      </c>
    </row>
    <row r="191">
      <c r="A191" s="5" t="inlineStr">
        <is>
          <t>UN0100</t>
        </is>
      </c>
      <c r="B191" s="3" t="inlineStr">
        <is>
          <t>63010001</t>
        </is>
      </c>
      <c r="C191" s="6" t="n">
        <v>44141</v>
      </c>
      <c r="D191" s="3" t="inlineStr">
        <is>
          <t>FZ</t>
        </is>
      </c>
      <c r="E191" s="3" t="inlineStr">
        <is>
          <t>USD</t>
        </is>
      </c>
      <c r="F191" s="4" t="n">
        <v>-256.2</v>
      </c>
      <c r="G191" s="3" t="inlineStr">
        <is>
          <t>USD</t>
        </is>
      </c>
      <c r="H191" s="4" t="n">
        <v>-256.2</v>
      </c>
      <c r="I191" s="5" t="inlineStr">
        <is>
          <t>UNFN289802FCB 20FEUH0001061</t>
        </is>
      </c>
      <c r="J191" s="3">
        <f>IF(C191="","",TODAY()-C191)</f>
        <v/>
      </c>
    </row>
    <row r="192">
      <c r="A192" s="5" t="inlineStr">
        <is>
          <t>UN0100</t>
        </is>
      </c>
      <c r="B192" s="3" t="inlineStr">
        <is>
          <t>63010001</t>
        </is>
      </c>
      <c r="C192" s="6" t="n">
        <v>44141</v>
      </c>
      <c r="D192" s="3" t="inlineStr">
        <is>
          <t>FZ</t>
        </is>
      </c>
      <c r="E192" s="3" t="inlineStr">
        <is>
          <t>USD</t>
        </is>
      </c>
      <c r="F192" s="4" t="n">
        <v>-10698.56</v>
      </c>
      <c r="G192" s="3" t="inlineStr">
        <is>
          <t>USD</t>
        </is>
      </c>
      <c r="H192" s="4" t="n">
        <v>-10698.56</v>
      </c>
      <c r="I192" s="5" t="inlineStr">
        <is>
          <t>UNFN289803FCB 20FEUH0001074</t>
        </is>
      </c>
      <c r="J192" s="3">
        <f>IF(C192="","",TODAY()-C192)</f>
        <v/>
      </c>
    </row>
    <row r="193">
      <c r="A193" s="5" t="inlineStr">
        <is>
          <t>UN0100</t>
        </is>
      </c>
      <c r="B193" s="3" t="inlineStr">
        <is>
          <t>63010001</t>
        </is>
      </c>
      <c r="C193" s="6" t="n">
        <v>44141</v>
      </c>
      <c r="D193" s="3" t="inlineStr">
        <is>
          <t>FZ</t>
        </is>
      </c>
      <c r="E193" s="3" t="inlineStr">
        <is>
          <t>USD</t>
        </is>
      </c>
      <c r="F193" s="4" t="n">
        <v>-940.64</v>
      </c>
      <c r="G193" s="3" t="inlineStr">
        <is>
          <t>USD</t>
        </is>
      </c>
      <c r="H193" s="4" t="n">
        <v>-940.64</v>
      </c>
      <c r="I193" s="5" t="inlineStr">
        <is>
          <t>UNFN289804FCB 20FEUH0001892</t>
        </is>
      </c>
      <c r="J193" s="3">
        <f>IF(C193="","",TODAY()-C193)</f>
        <v/>
      </c>
    </row>
    <row r="194">
      <c r="A194" s="5" t="inlineStr">
        <is>
          <t>UN0100</t>
        </is>
      </c>
      <c r="B194" s="3" t="inlineStr">
        <is>
          <t>63010001</t>
        </is>
      </c>
      <c r="C194" s="6" t="n">
        <v>44141</v>
      </c>
      <c r="D194" s="3" t="inlineStr">
        <is>
          <t>FZ</t>
        </is>
      </c>
      <c r="E194" s="3" t="inlineStr">
        <is>
          <t>USD</t>
        </is>
      </c>
      <c r="F194" s="4" t="n">
        <v>-1851.15</v>
      </c>
      <c r="G194" s="3" t="inlineStr">
        <is>
          <t>USD</t>
        </is>
      </c>
      <c r="H194" s="4" t="n">
        <v>-1851.15</v>
      </c>
      <c r="I194" s="5" t="inlineStr">
        <is>
          <t>UNFN289805FCB 20FEUH0001009</t>
        </is>
      </c>
      <c r="J194" s="3">
        <f>IF(C194="","",TODAY()-C194)</f>
        <v/>
      </c>
    </row>
    <row r="195">
      <c r="A195" s="5" t="inlineStr">
        <is>
          <t>UN0100</t>
        </is>
      </c>
      <c r="B195" s="3" t="inlineStr">
        <is>
          <t>63010001</t>
        </is>
      </c>
      <c r="C195" s="6" t="n">
        <v>44141</v>
      </c>
      <c r="D195" s="3" t="inlineStr">
        <is>
          <t>FZ</t>
        </is>
      </c>
      <c r="E195" s="3" t="inlineStr">
        <is>
          <t>USD</t>
        </is>
      </c>
      <c r="F195" s="4" t="n">
        <v>-37620.11</v>
      </c>
      <c r="G195" s="3" t="inlineStr">
        <is>
          <t>USD</t>
        </is>
      </c>
      <c r="H195" s="4" t="n">
        <v>-37620.11</v>
      </c>
      <c r="I195" s="5" t="inlineStr">
        <is>
          <t>UNFN289806FCB 20FEUN0000965</t>
        </is>
      </c>
      <c r="J195" s="3">
        <f>IF(C195="","",TODAY()-C195)</f>
        <v/>
      </c>
    </row>
    <row r="196">
      <c r="A196" s="5" t="inlineStr">
        <is>
          <t>UN0100</t>
        </is>
      </c>
      <c r="B196" s="3" t="inlineStr">
        <is>
          <t>63010001</t>
        </is>
      </c>
      <c r="C196" s="6" t="n">
        <v>44141</v>
      </c>
      <c r="D196" s="3" t="inlineStr">
        <is>
          <t>FZ</t>
        </is>
      </c>
      <c r="E196" s="3" t="inlineStr">
        <is>
          <t>USD</t>
        </is>
      </c>
      <c r="F196" s="4" t="n">
        <v>-3386.28</v>
      </c>
      <c r="G196" s="3" t="inlineStr">
        <is>
          <t>USD</t>
        </is>
      </c>
      <c r="H196" s="4" t="n">
        <v>-3386.28</v>
      </c>
      <c r="I196" s="5" t="inlineStr">
        <is>
          <t>UNFN289807FCB 20FEUH0001222</t>
        </is>
      </c>
      <c r="J196" s="3">
        <f>IF(C196="","",TODAY()-C196)</f>
        <v/>
      </c>
    </row>
    <row r="197">
      <c r="A197" s="5" t="inlineStr">
        <is>
          <t>UN0100</t>
        </is>
      </c>
      <c r="B197" s="3" t="inlineStr">
        <is>
          <t>63010001</t>
        </is>
      </c>
      <c r="C197" s="6" t="n">
        <v>44141</v>
      </c>
      <c r="D197" s="3" t="inlineStr">
        <is>
          <t>FZ</t>
        </is>
      </c>
      <c r="E197" s="3" t="inlineStr">
        <is>
          <t>USD</t>
        </is>
      </c>
      <c r="F197" s="4" t="n">
        <v>-19360.08</v>
      </c>
      <c r="G197" s="3" t="inlineStr">
        <is>
          <t>USD</t>
        </is>
      </c>
      <c r="H197" s="4" t="n">
        <v>-19360.08</v>
      </c>
      <c r="I197" s="5" t="inlineStr">
        <is>
          <t>UNFN289808FCB 20FEUN0001132</t>
        </is>
      </c>
      <c r="J197" s="3">
        <f>IF(C197="","",TODAY()-C197)</f>
        <v/>
      </c>
    </row>
    <row r="198">
      <c r="A198" s="5" t="inlineStr">
        <is>
          <t>UN0100</t>
        </is>
      </c>
      <c r="B198" s="3" t="inlineStr">
        <is>
          <t>63010001</t>
        </is>
      </c>
      <c r="C198" s="6" t="n">
        <v>44141</v>
      </c>
      <c r="D198" s="3" t="inlineStr">
        <is>
          <t>FZ</t>
        </is>
      </c>
      <c r="E198" s="3" t="inlineStr">
        <is>
          <t>USD</t>
        </is>
      </c>
      <c r="F198" s="4" t="n">
        <v>-5669.09</v>
      </c>
      <c r="G198" s="3" t="inlineStr">
        <is>
          <t>USD</t>
        </is>
      </c>
      <c r="H198" s="4" t="n">
        <v>-5669.09</v>
      </c>
      <c r="I198" s="5" t="inlineStr">
        <is>
          <t>UNFN289809FCB 20FEUN0000964</t>
        </is>
      </c>
      <c r="J198" s="3">
        <f>IF(C198="","",TODAY()-C198)</f>
        <v/>
      </c>
    </row>
    <row r="199">
      <c r="A199" s="5" t="inlineStr">
        <is>
          <t>UN0100</t>
        </is>
      </c>
      <c r="B199" s="3" t="inlineStr">
        <is>
          <t>63010001</t>
        </is>
      </c>
      <c r="C199" s="6" t="n">
        <v>44141</v>
      </c>
      <c r="D199" s="3" t="inlineStr">
        <is>
          <t>FZ</t>
        </is>
      </c>
      <c r="E199" s="3" t="inlineStr">
        <is>
          <t>USD</t>
        </is>
      </c>
      <c r="F199" s="4" t="n">
        <v>-23409.36</v>
      </c>
      <c r="G199" s="3" t="inlineStr">
        <is>
          <t>USD</t>
        </is>
      </c>
      <c r="H199" s="4" t="n">
        <v>-23409.36</v>
      </c>
      <c r="I199" s="5" t="inlineStr">
        <is>
          <t>UNFN289810FCB 20FEUN0001101</t>
        </is>
      </c>
      <c r="J199" s="3">
        <f>IF(C199="","",TODAY()-C199)</f>
        <v/>
      </c>
    </row>
    <row r="200">
      <c r="A200" s="5" t="inlineStr">
        <is>
          <t>UN0100</t>
        </is>
      </c>
      <c r="B200" s="3" t="inlineStr">
        <is>
          <t>63010001</t>
        </is>
      </c>
      <c r="C200" s="6" t="n">
        <v>44141</v>
      </c>
      <c r="D200" s="3" t="inlineStr">
        <is>
          <t>FZ</t>
        </is>
      </c>
      <c r="E200" s="3" t="inlineStr">
        <is>
          <t>USD</t>
        </is>
      </c>
      <c r="F200" s="4" t="n">
        <v>-139732.51</v>
      </c>
      <c r="G200" s="3" t="inlineStr">
        <is>
          <t>USD</t>
        </is>
      </c>
      <c r="H200" s="4" t="n">
        <v>-139732.51</v>
      </c>
      <c r="I200" s="5" t="inlineStr">
        <is>
          <t>UNFN289811FCB 20FEUN0001133</t>
        </is>
      </c>
      <c r="J200" s="3">
        <f>IF(C200="","",TODAY()-C200)</f>
        <v/>
      </c>
    </row>
    <row r="201">
      <c r="A201" s="5" t="inlineStr">
        <is>
          <t>UN0100</t>
        </is>
      </c>
      <c r="B201" s="3" t="inlineStr">
        <is>
          <t>63010001</t>
        </is>
      </c>
      <c r="C201" s="6" t="n">
        <v>44141</v>
      </c>
      <c r="D201" s="3" t="inlineStr">
        <is>
          <t>FZ</t>
        </is>
      </c>
      <c r="E201" s="3" t="inlineStr">
        <is>
          <t>USD</t>
        </is>
      </c>
      <c r="F201" s="4" t="n">
        <v>-38421.62</v>
      </c>
      <c r="G201" s="3" t="inlineStr">
        <is>
          <t>USD</t>
        </is>
      </c>
      <c r="H201" s="4" t="n">
        <v>-38421.62</v>
      </c>
      <c r="I201" s="5" t="inlineStr">
        <is>
          <t>UNFN289812FCB 20FEUN0001232</t>
        </is>
      </c>
      <c r="J201" s="3">
        <f>IF(C201="","",TODAY()-C201)</f>
        <v/>
      </c>
    </row>
    <row r="202">
      <c r="A202" s="5" t="inlineStr">
        <is>
          <t>UN0100</t>
        </is>
      </c>
      <c r="B202" s="3" t="inlineStr">
        <is>
          <t>63010001</t>
        </is>
      </c>
      <c r="C202" s="6" t="n">
        <v>44141</v>
      </c>
      <c r="D202" s="3" t="inlineStr">
        <is>
          <t>FZ</t>
        </is>
      </c>
      <c r="E202" s="3" t="inlineStr">
        <is>
          <t>USD</t>
        </is>
      </c>
      <c r="F202" s="4" t="n">
        <v>-27272.26</v>
      </c>
      <c r="G202" s="3" t="inlineStr">
        <is>
          <t>USD</t>
        </is>
      </c>
      <c r="H202" s="4" t="n">
        <v>-27272.26</v>
      </c>
      <c r="I202" s="5" t="n">
        <v/>
      </c>
      <c r="J202" s="3">
        <f>IF(C202="","",TODAY()-C202)</f>
        <v/>
      </c>
    </row>
    <row r="203">
      <c r="A203" s="5" t="inlineStr">
        <is>
          <t>UN0100</t>
        </is>
      </c>
      <c r="B203" s="3" t="inlineStr">
        <is>
          <t>63010001</t>
        </is>
      </c>
      <c r="C203" s="6" t="n">
        <v>44141</v>
      </c>
      <c r="D203" s="3" t="inlineStr">
        <is>
          <t>FZ</t>
        </is>
      </c>
      <c r="E203" s="3" t="inlineStr">
        <is>
          <t>USD</t>
        </is>
      </c>
      <c r="F203" s="4" t="n">
        <v>-1015.66</v>
      </c>
      <c r="G203" s="3" t="inlineStr">
        <is>
          <t>USD</t>
        </is>
      </c>
      <c r="H203" s="4" t="n">
        <v>-1015.66</v>
      </c>
      <c r="I203" s="5" t="n">
        <v/>
      </c>
      <c r="J203" s="3">
        <f>IF(C203="","",TODAY()-C203)</f>
        <v/>
      </c>
    </row>
    <row r="204">
      <c r="A204" s="5" t="inlineStr">
        <is>
          <t>UN0100</t>
        </is>
      </c>
      <c r="B204" s="3" t="inlineStr">
        <is>
          <t>63010001</t>
        </is>
      </c>
      <c r="C204" s="6" t="n">
        <v>44141</v>
      </c>
      <c r="D204" s="3" t="inlineStr">
        <is>
          <t>FZ</t>
        </is>
      </c>
      <c r="E204" s="3" t="inlineStr">
        <is>
          <t>USD</t>
        </is>
      </c>
      <c r="F204" s="4" t="n">
        <v>-181008.53</v>
      </c>
      <c r="G204" s="3" t="inlineStr">
        <is>
          <t>USD</t>
        </is>
      </c>
      <c r="H204" s="4" t="n">
        <v>-181008.53</v>
      </c>
      <c r="I204" s="5" t="n">
        <v/>
      </c>
      <c r="J204" s="3">
        <f>IF(C204="","",TODAY()-C204)</f>
        <v/>
      </c>
    </row>
    <row r="205">
      <c r="A205" s="5" t="inlineStr">
        <is>
          <t>UN0100</t>
        </is>
      </c>
      <c r="B205" s="3" t="inlineStr">
        <is>
          <t>63010001</t>
        </is>
      </c>
      <c r="C205" s="6" t="n">
        <v>44141</v>
      </c>
      <c r="D205" s="3" t="inlineStr">
        <is>
          <t>FZ</t>
        </is>
      </c>
      <c r="E205" s="3" t="inlineStr">
        <is>
          <t>USD</t>
        </is>
      </c>
      <c r="F205" s="4" t="n">
        <v>-14188.02</v>
      </c>
      <c r="G205" s="3" t="inlineStr">
        <is>
          <t>USD</t>
        </is>
      </c>
      <c r="H205" s="4" t="n">
        <v>-14188.02</v>
      </c>
      <c r="I205" s="5" t="n">
        <v/>
      </c>
      <c r="J205" s="3">
        <f>IF(C205="","",TODAY()-C205)</f>
        <v/>
      </c>
    </row>
    <row r="206">
      <c r="A206" s="5" t="inlineStr">
        <is>
          <t>UN0100</t>
        </is>
      </c>
      <c r="B206" s="3" t="inlineStr">
        <is>
          <t>63010001</t>
        </is>
      </c>
      <c r="C206" s="6" t="n">
        <v>44141</v>
      </c>
      <c r="D206" s="3" t="inlineStr">
        <is>
          <t>FZ</t>
        </is>
      </c>
      <c r="E206" s="3" t="inlineStr">
        <is>
          <t>USD</t>
        </is>
      </c>
      <c r="F206" s="4" t="n">
        <v>-216.32</v>
      </c>
      <c r="G206" s="3" t="inlineStr">
        <is>
          <t>USD</t>
        </is>
      </c>
      <c r="H206" s="4" t="n">
        <v>-216.32</v>
      </c>
      <c r="I206" s="5" t="n">
        <v/>
      </c>
      <c r="J206" s="3">
        <f>IF(C206="","",TODAY()-C206)</f>
        <v/>
      </c>
    </row>
    <row r="207">
      <c r="A207" s="5" t="inlineStr">
        <is>
          <t>UN0100</t>
        </is>
      </c>
      <c r="B207" s="3" t="inlineStr">
        <is>
          <t>63010001</t>
        </is>
      </c>
      <c r="C207" s="6" t="n">
        <v>44141</v>
      </c>
      <c r="D207" s="3" t="inlineStr">
        <is>
          <t>FZ</t>
        </is>
      </c>
      <c r="E207" s="3" t="inlineStr">
        <is>
          <t>USD</t>
        </is>
      </c>
      <c r="F207" s="4" t="n">
        <v>-13150.8</v>
      </c>
      <c r="G207" s="3" t="inlineStr">
        <is>
          <t>USD</t>
        </is>
      </c>
      <c r="H207" s="4" t="n">
        <v>-13150.8</v>
      </c>
      <c r="I207" s="5" t="n">
        <v/>
      </c>
      <c r="J207" s="3">
        <f>IF(C207="","",TODAY()-C207)</f>
        <v/>
      </c>
    </row>
    <row r="208">
      <c r="A208" s="5" t="inlineStr">
        <is>
          <t>UN0100</t>
        </is>
      </c>
      <c r="B208" s="3" t="inlineStr">
        <is>
          <t>63010001</t>
        </is>
      </c>
      <c r="C208" s="6" t="n">
        <v>44141</v>
      </c>
      <c r="D208" s="3" t="inlineStr">
        <is>
          <t>FZ</t>
        </is>
      </c>
      <c r="E208" s="3" t="inlineStr">
        <is>
          <t>USD</t>
        </is>
      </c>
      <c r="F208" s="4" t="n">
        <v>-107.68</v>
      </c>
      <c r="G208" s="3" t="inlineStr">
        <is>
          <t>USD</t>
        </is>
      </c>
      <c r="H208" s="4" t="n">
        <v>-107.68</v>
      </c>
      <c r="I208" s="5" t="n">
        <v/>
      </c>
      <c r="J208" s="3">
        <f>IF(C208="","",TODAY()-C208)</f>
        <v/>
      </c>
    </row>
    <row r="209">
      <c r="A209" s="5" t="inlineStr">
        <is>
          <t>UN0100</t>
        </is>
      </c>
      <c r="B209" s="3" t="inlineStr">
        <is>
          <t>63010001</t>
        </is>
      </c>
      <c r="C209" s="6" t="n">
        <v>44141</v>
      </c>
      <c r="D209" s="3" t="inlineStr">
        <is>
          <t>FZ</t>
        </is>
      </c>
      <c r="E209" s="3" t="inlineStr">
        <is>
          <t>USD</t>
        </is>
      </c>
      <c r="F209" s="4" t="n">
        <v>-834.47</v>
      </c>
      <c r="G209" s="3" t="inlineStr">
        <is>
          <t>USD</t>
        </is>
      </c>
      <c r="H209" s="4" t="n">
        <v>-834.47</v>
      </c>
      <c r="I209" s="5" t="n">
        <v/>
      </c>
      <c r="J209" s="3">
        <f>IF(C209="","",TODAY()-C209)</f>
        <v/>
      </c>
    </row>
    <row r="210">
      <c r="A210" s="5" t="inlineStr">
        <is>
          <t>UN0100</t>
        </is>
      </c>
      <c r="B210" s="3" t="inlineStr">
        <is>
          <t>63010001</t>
        </is>
      </c>
      <c r="C210" s="6" t="n">
        <v>44141</v>
      </c>
      <c r="D210" s="3" t="inlineStr">
        <is>
          <t>FZ</t>
        </is>
      </c>
      <c r="E210" s="3" t="inlineStr">
        <is>
          <t>USD</t>
        </is>
      </c>
      <c r="F210" s="4" t="n">
        <v>-3629.62</v>
      </c>
      <c r="G210" s="3" t="inlineStr">
        <is>
          <t>USD</t>
        </is>
      </c>
      <c r="H210" s="4" t="n">
        <v>-3629.62</v>
      </c>
      <c r="I210" s="5" t="n">
        <v/>
      </c>
      <c r="J210" s="3">
        <f>IF(C210="","",TODAY()-C210)</f>
        <v/>
      </c>
    </row>
    <row r="211">
      <c r="A211" s="5" t="inlineStr">
        <is>
          <t>UN0100</t>
        </is>
      </c>
      <c r="B211" s="3" t="inlineStr">
        <is>
          <t>63010001</t>
        </is>
      </c>
      <c r="C211" s="6" t="n">
        <v>44141</v>
      </c>
      <c r="D211" s="3" t="inlineStr">
        <is>
          <t>FZ</t>
        </is>
      </c>
      <c r="E211" s="3" t="inlineStr">
        <is>
          <t>USD</t>
        </is>
      </c>
      <c r="F211" s="4" t="n">
        <v>-2242.64</v>
      </c>
      <c r="G211" s="3" t="inlineStr">
        <is>
          <t>USD</t>
        </is>
      </c>
      <c r="H211" s="4" t="n">
        <v>-2242.64</v>
      </c>
      <c r="I211" s="5" t="n">
        <v/>
      </c>
      <c r="J211" s="3">
        <f>IF(C211="","",TODAY()-C211)</f>
        <v/>
      </c>
    </row>
    <row r="212">
      <c r="A212" s="5" t="inlineStr">
        <is>
          <t>UN0100</t>
        </is>
      </c>
      <c r="B212" s="3" t="inlineStr">
        <is>
          <t>63010001</t>
        </is>
      </c>
      <c r="C212" s="6" t="n">
        <v>44141</v>
      </c>
      <c r="D212" s="3" t="inlineStr">
        <is>
          <t>FZ</t>
        </is>
      </c>
      <c r="E212" s="3" t="inlineStr">
        <is>
          <t>USD</t>
        </is>
      </c>
      <c r="F212" s="4" t="n">
        <v>-1492.98</v>
      </c>
      <c r="G212" s="3" t="inlineStr">
        <is>
          <t>USD</t>
        </is>
      </c>
      <c r="H212" s="4" t="n">
        <v>-1492.98</v>
      </c>
      <c r="I212" s="5" t="n">
        <v/>
      </c>
      <c r="J212" s="3">
        <f>IF(C212="","",TODAY()-C212)</f>
        <v/>
      </c>
    </row>
    <row r="213">
      <c r="A213" s="5" t="inlineStr">
        <is>
          <t>UN0100</t>
        </is>
      </c>
      <c r="B213" s="3" t="inlineStr">
        <is>
          <t>63010001</t>
        </is>
      </c>
      <c r="C213" s="6" t="n">
        <v>44141</v>
      </c>
      <c r="D213" s="3" t="inlineStr">
        <is>
          <t>FZ</t>
        </is>
      </c>
      <c r="E213" s="3" t="inlineStr">
        <is>
          <t>USD</t>
        </is>
      </c>
      <c r="F213" s="4" t="n">
        <v>-118456.16</v>
      </c>
      <c r="G213" s="3" t="inlineStr">
        <is>
          <t>USD</t>
        </is>
      </c>
      <c r="H213" s="4" t="n">
        <v>-118456.16</v>
      </c>
      <c r="I213" s="5" t="n">
        <v/>
      </c>
      <c r="J213" s="3">
        <f>IF(C213="","",TODAY()-C213)</f>
        <v/>
      </c>
    </row>
    <row r="214">
      <c r="A214" s="5" t="inlineStr">
        <is>
          <t>UN0100</t>
        </is>
      </c>
      <c r="B214" s="3" t="inlineStr">
        <is>
          <t>63010001</t>
        </is>
      </c>
      <c r="C214" s="6" t="n">
        <v>44141</v>
      </c>
      <c r="D214" s="3" t="inlineStr">
        <is>
          <t>FZ</t>
        </is>
      </c>
      <c r="E214" s="3" t="inlineStr">
        <is>
          <t>USD</t>
        </is>
      </c>
      <c r="F214" s="4" t="n">
        <v>-4574.46</v>
      </c>
      <c r="G214" s="3" t="inlineStr">
        <is>
          <t>USD</t>
        </is>
      </c>
      <c r="H214" s="4" t="n">
        <v>-4574.46</v>
      </c>
      <c r="I214" s="5" t="n">
        <v/>
      </c>
      <c r="J214" s="3">
        <f>IF(C214="","",TODAY()-C214)</f>
        <v/>
      </c>
    </row>
    <row r="215">
      <c r="A215" s="5" t="inlineStr">
        <is>
          <t>UN0100</t>
        </is>
      </c>
      <c r="B215" s="3" t="inlineStr">
        <is>
          <t>63010001</t>
        </is>
      </c>
      <c r="C215" s="6" t="n">
        <v>44141</v>
      </c>
      <c r="D215" s="3" t="inlineStr">
        <is>
          <t>FZ</t>
        </is>
      </c>
      <c r="E215" s="3" t="inlineStr">
        <is>
          <t>USD</t>
        </is>
      </c>
      <c r="F215" s="4" t="n">
        <v>-767.76</v>
      </c>
      <c r="G215" s="3" t="inlineStr">
        <is>
          <t>USD</t>
        </is>
      </c>
      <c r="H215" s="4" t="n">
        <v>-767.76</v>
      </c>
      <c r="I215" s="5" t="n">
        <v/>
      </c>
      <c r="J215" s="3">
        <f>IF(C215="","",TODAY()-C215)</f>
        <v/>
      </c>
    </row>
    <row r="216">
      <c r="A216" s="5" t="inlineStr">
        <is>
          <t>UN0100</t>
        </is>
      </c>
      <c r="B216" s="3" t="inlineStr">
        <is>
          <t>63010001</t>
        </is>
      </c>
      <c r="C216" s="6" t="n">
        <v>44141</v>
      </c>
      <c r="D216" s="3" t="inlineStr">
        <is>
          <t>FZ</t>
        </is>
      </c>
      <c r="E216" s="3" t="inlineStr">
        <is>
          <t>USD</t>
        </is>
      </c>
      <c r="F216" s="4" t="n">
        <v>-762.88</v>
      </c>
      <c r="G216" s="3" t="inlineStr">
        <is>
          <t>USD</t>
        </is>
      </c>
      <c r="H216" s="4" t="n">
        <v>-762.88</v>
      </c>
      <c r="I216" s="5" t="n">
        <v/>
      </c>
      <c r="J216" s="3">
        <f>IF(C216="","",TODAY()-C216)</f>
        <v/>
      </c>
    </row>
    <row r="217">
      <c r="A217" s="5" t="inlineStr">
        <is>
          <t>UN0100</t>
        </is>
      </c>
      <c r="B217" s="3" t="inlineStr">
        <is>
          <t>63010001</t>
        </is>
      </c>
      <c r="C217" s="6" t="n">
        <v>44141</v>
      </c>
      <c r="D217" s="3" t="inlineStr">
        <is>
          <t>FZ</t>
        </is>
      </c>
      <c r="E217" s="3" t="inlineStr">
        <is>
          <t>USD</t>
        </is>
      </c>
      <c r="F217" s="4" t="n">
        <v>-36127.53</v>
      </c>
      <c r="G217" s="3" t="inlineStr">
        <is>
          <t>USD</t>
        </is>
      </c>
      <c r="H217" s="4" t="n">
        <v>-36127.53</v>
      </c>
      <c r="I217" s="5" t="n">
        <v/>
      </c>
      <c r="J217" s="3">
        <f>IF(C217="","",TODAY()-C217)</f>
        <v/>
      </c>
    </row>
    <row r="218">
      <c r="A218" s="5" t="inlineStr">
        <is>
          <t>UN0100</t>
        </is>
      </c>
      <c r="B218" s="3" t="inlineStr">
        <is>
          <t>63010001</t>
        </is>
      </c>
      <c r="C218" s="6" t="n">
        <v>44141</v>
      </c>
      <c r="D218" s="3" t="inlineStr">
        <is>
          <t>FZ</t>
        </is>
      </c>
      <c r="E218" s="3" t="inlineStr">
        <is>
          <t>USD</t>
        </is>
      </c>
      <c r="F218" s="4" t="n">
        <v>-461.29</v>
      </c>
      <c r="G218" s="3" t="inlineStr">
        <is>
          <t>USD</t>
        </is>
      </c>
      <c r="H218" s="4" t="n">
        <v>-461.29</v>
      </c>
      <c r="I218" s="5" t="n">
        <v/>
      </c>
      <c r="J218" s="3">
        <f>IF(C218="","",TODAY()-C218)</f>
        <v/>
      </c>
    </row>
    <row r="219">
      <c r="A219" s="5" t="inlineStr">
        <is>
          <t>XT0150</t>
        </is>
      </c>
      <c r="B219" s="3" t="inlineStr">
        <is>
          <t>63010001</t>
        </is>
      </c>
      <c r="C219" s="6" t="n">
        <v>44171</v>
      </c>
      <c r="D219" s="3" t="inlineStr">
        <is>
          <t>FZ</t>
        </is>
      </c>
      <c r="E219" s="3" t="inlineStr">
        <is>
          <t>USD</t>
        </is>
      </c>
      <c r="F219" s="4" t="n">
        <v>-9157.5</v>
      </c>
      <c r="G219" s="3" t="inlineStr">
        <is>
          <t>USD</t>
        </is>
      </c>
      <c r="H219" s="4" t="n">
        <v>-9157.5</v>
      </c>
      <c r="I219" s="5" t="inlineStr">
        <is>
          <t>PET447181171 CHEURGE WEUVED EUSS.CM LMTED</t>
        </is>
      </c>
      <c r="J219" s="3">
        <f>IF(C219="","",TODAY()-C219)</f>
        <v/>
      </c>
    </row>
    <row r="220">
      <c r="A220" s="5" t="inlineStr">
        <is>
          <t>UN0100</t>
        </is>
      </c>
      <c r="B220" s="3" t="inlineStr">
        <is>
          <t>63010001</t>
        </is>
      </c>
      <c r="C220" s="6" t="n">
        <v>44141</v>
      </c>
      <c r="D220" s="3" t="inlineStr">
        <is>
          <t>DZ</t>
        </is>
      </c>
      <c r="E220" s="3" t="inlineStr">
        <is>
          <t>USD</t>
        </is>
      </c>
      <c r="F220" s="4" t="n">
        <v>12122.94</v>
      </c>
      <c r="G220" s="3" t="inlineStr">
        <is>
          <t>USD</t>
        </is>
      </c>
      <c r="H220" s="4" t="n">
        <v>12122.94</v>
      </c>
      <c r="I220" s="5" t="n">
        <v/>
      </c>
      <c r="J220" s="3">
        <f>IF(C220="","",TODAY()-C220)</f>
        <v/>
      </c>
    </row>
    <row r="221">
      <c r="A221" s="5" t="inlineStr">
        <is>
          <t>XT0150</t>
        </is>
      </c>
      <c r="B221" s="3" t="inlineStr">
        <is>
          <t>63010001</t>
        </is>
      </c>
      <c r="C221" s="6" t="n">
        <v>44171</v>
      </c>
      <c r="D221" s="3" t="inlineStr">
        <is>
          <t>DZ</t>
        </is>
      </c>
      <c r="E221" s="3" t="inlineStr">
        <is>
          <t>USD</t>
        </is>
      </c>
      <c r="F221" s="4" t="n">
        <v>31043.05</v>
      </c>
      <c r="G221" s="3" t="inlineStr">
        <is>
          <t>USD</t>
        </is>
      </c>
      <c r="H221" s="4" t="n">
        <v>31043.05</v>
      </c>
      <c r="I221" s="5" t="inlineStr">
        <is>
          <t>BPCFCB1889331C 5819594136 -00 20NBL008678</t>
        </is>
      </c>
      <c r="J221" s="3">
        <f>IF(C221="","",TODAY()-C221)</f>
        <v/>
      </c>
    </row>
    <row r="222">
      <c r="A222" s="5" t="inlineStr">
        <is>
          <t>XT0150</t>
        </is>
      </c>
      <c r="B222" s="3" t="inlineStr">
        <is>
          <t>63010001</t>
        </is>
      </c>
      <c r="C222" s="6" t="n">
        <v>44171</v>
      </c>
      <c r="D222" s="3" t="inlineStr">
        <is>
          <t>DZ</t>
        </is>
      </c>
      <c r="E222" s="3" t="inlineStr">
        <is>
          <t>USD</t>
        </is>
      </c>
      <c r="F222" s="4" t="n">
        <v>16444.03</v>
      </c>
      <c r="G222" s="3" t="inlineStr">
        <is>
          <t>USD</t>
        </is>
      </c>
      <c r="H222" s="4" t="n">
        <v>16444.03</v>
      </c>
      <c r="I222" s="5" t="inlineStr">
        <is>
          <t>BPCFCB1889335C 5819594136 -00 20NMT011644</t>
        </is>
      </c>
      <c r="J222" s="3">
        <f>IF(C222="","",TODAY()-C222)</f>
        <v/>
      </c>
    </row>
    <row r="223">
      <c r="A223" s="5" t="inlineStr">
        <is>
          <t>XT0150</t>
        </is>
      </c>
      <c r="B223" s="3" t="inlineStr">
        <is>
          <t>63010001</t>
        </is>
      </c>
      <c r="C223" s="6" t="n">
        <v>44171</v>
      </c>
      <c r="D223" s="3" t="inlineStr">
        <is>
          <t>DZ</t>
        </is>
      </c>
      <c r="E223" s="3" t="inlineStr">
        <is>
          <t>USD</t>
        </is>
      </c>
      <c r="F223" s="4" t="n">
        <v>9157.5</v>
      </c>
      <c r="G223" s="3" t="inlineStr">
        <is>
          <t>USD</t>
        </is>
      </c>
      <c r="H223" s="4" t="n">
        <v>9157.5</v>
      </c>
      <c r="I223" s="5" t="inlineStr">
        <is>
          <t>PET447181171 CHEURGE WEUVED EUSS.CM LMTED</t>
        </is>
      </c>
      <c r="J223" s="3">
        <f>IF(C223="","",TODAY()-C223)</f>
        <v/>
      </c>
    </row>
    <row r="224">
      <c r="A224" s="5" t="inlineStr">
        <is>
          <t>UN0100</t>
        </is>
      </c>
      <c r="B224" s="3" t="inlineStr">
        <is>
          <t>63010001</t>
        </is>
      </c>
      <c r="C224" s="6" t="n">
        <v>44141</v>
      </c>
      <c r="D224" s="3" t="inlineStr">
        <is>
          <t>DZ</t>
        </is>
      </c>
      <c r="E224" s="3" t="inlineStr">
        <is>
          <t>USD</t>
        </is>
      </c>
      <c r="F224" s="4" t="n">
        <v>67.34999999999999</v>
      </c>
      <c r="G224" s="3" t="inlineStr">
        <is>
          <t>USD</t>
        </is>
      </c>
      <c r="H224" s="4" t="n">
        <v>67.34999999999999</v>
      </c>
      <c r="I224" s="5" t="inlineStr">
        <is>
          <t>G- LEEUTHER FEUSHNS NC TFR+ CHEURGE WEUVED</t>
        </is>
      </c>
      <c r="J224" s="3">
        <f>IF(C224="","",TODAY()-C224)</f>
        <v/>
      </c>
    </row>
    <row r="225">
      <c r="A225" s="5" t="inlineStr">
        <is>
          <t>UN0100</t>
        </is>
      </c>
      <c r="B225" s="3" t="inlineStr">
        <is>
          <t>63010001</t>
        </is>
      </c>
      <c r="C225" s="6" t="n">
        <v>44141</v>
      </c>
      <c r="D225" s="3" t="inlineStr">
        <is>
          <t>DA</t>
        </is>
      </c>
      <c r="E225" s="3" t="inlineStr">
        <is>
          <t>USD</t>
        </is>
      </c>
      <c r="F225" s="4" t="n">
        <v>-370496.96</v>
      </c>
      <c r="G225" s="3" t="inlineStr">
        <is>
          <t>USD</t>
        </is>
      </c>
      <c r="H225" s="4" t="n">
        <v>-370496.96</v>
      </c>
      <c r="I225" s="5" t="inlineStr">
        <is>
          <t>T095918896150133  NWEURD TT BL</t>
        </is>
      </c>
      <c r="J225" s="3">
        <f>IF(C225="","",TODAY()-C225)</f>
        <v/>
      </c>
    </row>
    <row r="226">
      <c r="A226" s="5" t="inlineStr">
        <is>
          <t>XT0150</t>
        </is>
      </c>
      <c r="B226" s="3" t="inlineStr">
        <is>
          <t>63010001</t>
        </is>
      </c>
      <c r="C226" s="6" t="n">
        <v>44171</v>
      </c>
      <c r="D226" s="3" t="inlineStr">
        <is>
          <t>FZ</t>
        </is>
      </c>
      <c r="E226" s="3" t="inlineStr">
        <is>
          <t>USD</t>
        </is>
      </c>
      <c r="F226" s="4" t="n">
        <v>-5554.4</v>
      </c>
      <c r="G226" s="3" t="inlineStr">
        <is>
          <t>USD</t>
        </is>
      </c>
      <c r="H226" s="4" t="n">
        <v>-5554.4</v>
      </c>
      <c r="I226" s="5" t="inlineStr">
        <is>
          <t>NNREF STEUNDNG NSTRUCTN 001 TUNF FRM/T 090 EU/</t>
        </is>
      </c>
      <c r="J226" s="3">
        <f>IF(C226="","",TODAY()-C226)</f>
        <v/>
      </c>
    </row>
    <row r="227">
      <c r="A227" s="5" t="inlineStr">
        <is>
          <t>XT0150</t>
        </is>
      </c>
      <c r="B227" s="3" t="inlineStr">
        <is>
          <t>63010001</t>
        </is>
      </c>
      <c r="C227" s="6" t="n">
        <v>44171</v>
      </c>
      <c r="D227" s="3" t="inlineStr">
        <is>
          <t>DZ</t>
        </is>
      </c>
      <c r="E227" s="3" t="inlineStr">
        <is>
          <t>USD</t>
        </is>
      </c>
      <c r="F227" s="4" t="n">
        <v>166.2</v>
      </c>
      <c r="G227" s="3" t="inlineStr">
        <is>
          <t>USD</t>
        </is>
      </c>
      <c r="H227" s="4" t="n">
        <v>166.2</v>
      </c>
      <c r="I227" s="5" t="inlineStr">
        <is>
          <t>00621889072793 SENDER CHEURGES U</t>
        </is>
      </c>
      <c r="J227" s="3">
        <f>IF(C227="","",TODAY()-C227)</f>
        <v/>
      </c>
    </row>
    <row r="228">
      <c r="A228" s="5" t="inlineStr">
        <is>
          <t>XT0150</t>
        </is>
      </c>
      <c r="B228" s="3" t="inlineStr">
        <is>
          <t>63010001</t>
        </is>
      </c>
      <c r="C228" s="6" t="n">
        <v>44171</v>
      </c>
      <c r="D228" s="3" t="inlineStr">
        <is>
          <t>FZ</t>
        </is>
      </c>
      <c r="E228" s="3" t="inlineStr">
        <is>
          <t>USD</t>
        </is>
      </c>
      <c r="F228" s="4" t="n">
        <v>-166.2</v>
      </c>
      <c r="G228" s="3" t="inlineStr">
        <is>
          <t>USD</t>
        </is>
      </c>
      <c r="H228" s="4" t="n">
        <v>-166.2</v>
      </c>
      <c r="I228" s="5" t="inlineStr">
        <is>
          <t>00621889072793 SENDER CHEURGES USD0, CMT/USD166,2 C</t>
        </is>
      </c>
      <c r="J228" s="3">
        <f>IF(C228="","",TODAY()-C228)</f>
        <v/>
      </c>
    </row>
    <row r="229">
      <c r="A229" s="5" t="inlineStr">
        <is>
          <t>UN0100</t>
        </is>
      </c>
      <c r="B229" s="3" t="inlineStr">
        <is>
          <t>63010001</t>
        </is>
      </c>
      <c r="C229" s="6" t="n">
        <v>44141</v>
      </c>
      <c r="D229" s="3" t="inlineStr">
        <is>
          <t>FZ</t>
        </is>
      </c>
      <c r="E229" s="3" t="inlineStr">
        <is>
          <t>USD</t>
        </is>
      </c>
      <c r="F229" s="4" t="n">
        <v>-83.83</v>
      </c>
      <c r="G229" s="3" t="inlineStr">
        <is>
          <t>USD</t>
        </is>
      </c>
      <c r="H229" s="4" t="n">
        <v>-83.83</v>
      </c>
      <c r="I229" s="5" t="inlineStr">
        <is>
          <t>0062300019233 SENDER CHEURGES USD0, CHEURGE WEUVED EU</t>
        </is>
      </c>
      <c r="J229" s="3">
        <f>IF(C229="","",TODAY()-C229)</f>
        <v/>
      </c>
    </row>
    <row r="230">
      <c r="A230" s="5" t="inlineStr">
        <is>
          <t>UN0100</t>
        </is>
      </c>
      <c r="B230" s="3" t="inlineStr">
        <is>
          <t>63010001</t>
        </is>
      </c>
      <c r="C230" s="6" t="n">
        <v>44141</v>
      </c>
      <c r="D230" s="3" t="inlineStr">
        <is>
          <t>FZ</t>
        </is>
      </c>
      <c r="E230" s="3" t="inlineStr">
        <is>
          <t>USD</t>
        </is>
      </c>
      <c r="F230" s="4" t="n">
        <v>-351.63</v>
      </c>
      <c r="G230" s="3" t="inlineStr">
        <is>
          <t>USD</t>
        </is>
      </c>
      <c r="H230" s="4" t="n">
        <v>-351.63</v>
      </c>
      <c r="I230" s="5" t="inlineStr">
        <is>
          <t>0062300019893 SENDER CHEURGES USD0, CHEURGE WEUVED EU</t>
        </is>
      </c>
      <c r="J230" s="3">
        <f>IF(C230="","",TODAY()-C230)</f>
        <v/>
      </c>
    </row>
    <row r="231">
      <c r="A231" s="5" t="inlineStr">
        <is>
          <t>UN0100</t>
        </is>
      </c>
      <c r="B231" s="3" t="inlineStr">
        <is>
          <t>63010001</t>
        </is>
      </c>
      <c r="C231" s="6" t="n">
        <v>44141</v>
      </c>
      <c r="D231" s="3" t="inlineStr">
        <is>
          <t>DZ</t>
        </is>
      </c>
      <c r="E231" s="3" t="inlineStr">
        <is>
          <t>USD</t>
        </is>
      </c>
      <c r="F231" s="4" t="n">
        <v>12831.5</v>
      </c>
      <c r="G231" s="3" t="inlineStr">
        <is>
          <t>USD</t>
        </is>
      </c>
      <c r="H231" s="4" t="n">
        <v>12831.5</v>
      </c>
      <c r="I231" s="5" t="inlineStr">
        <is>
          <t>1/CEULVN KLEN EURPE B.V. TFR+ EUT-SP-251-2019 EUT-</t>
        </is>
      </c>
      <c r="J231" s="3">
        <f>IF(C231="","",TODAY()-C231)</f>
        <v/>
      </c>
    </row>
    <row r="232">
      <c r="A232" s="5" t="inlineStr">
        <is>
          <t>XT0150</t>
        </is>
      </c>
      <c r="B232" s="3" t="inlineStr">
        <is>
          <t>63010001</t>
        </is>
      </c>
      <c r="C232" s="6" t="n">
        <v>44171</v>
      </c>
      <c r="D232" s="3" t="inlineStr">
        <is>
          <t>DZ</t>
        </is>
      </c>
      <c r="E232" s="3" t="inlineStr">
        <is>
          <t>USD</t>
        </is>
      </c>
      <c r="F232" s="4" t="n">
        <v>305.68</v>
      </c>
      <c r="G232" s="3" t="inlineStr">
        <is>
          <t>USD</t>
        </is>
      </c>
      <c r="H232" s="4" t="n">
        <v>305.68</v>
      </c>
      <c r="I232" s="5" t="inlineStr">
        <is>
          <t>174502875 NV000000193046, CM</t>
        </is>
      </c>
      <c r="J232" s="3">
        <f>IF(C232="","",TODAY()-C232)</f>
        <v/>
      </c>
    </row>
    <row r="233">
      <c r="A233" s="5" t="inlineStr">
        <is>
          <t>XT0150</t>
        </is>
      </c>
      <c r="B233" s="3" t="inlineStr">
        <is>
          <t>63010001</t>
        </is>
      </c>
      <c r="C233" s="6" t="n">
        <v>44171</v>
      </c>
      <c r="D233" s="3" t="inlineStr">
        <is>
          <t>FZ</t>
        </is>
      </c>
      <c r="E233" s="3" t="inlineStr">
        <is>
          <t>USD</t>
        </is>
      </c>
      <c r="F233" s="4" t="n">
        <v>-305.68</v>
      </c>
      <c r="G233" s="3" t="inlineStr">
        <is>
          <t>USD</t>
        </is>
      </c>
      <c r="H233" s="4" t="n">
        <v>-305.68</v>
      </c>
      <c r="I233" s="5" t="inlineStr">
        <is>
          <t>174502875 NV000000193046, CMT/USD305,68 CHEURGE W</t>
        </is>
      </c>
      <c r="J233" s="3">
        <f>IF(C233="","",TODAY()-C233)</f>
        <v/>
      </c>
    </row>
    <row r="234">
      <c r="A234" s="5" t="inlineStr">
        <is>
          <t>XT0150</t>
        </is>
      </c>
      <c r="B234" s="3" t="inlineStr">
        <is>
          <t>63010001</t>
        </is>
      </c>
      <c r="C234" s="6" t="n">
        <v>44171</v>
      </c>
      <c r="D234" s="3" t="inlineStr">
        <is>
          <t>DZ</t>
        </is>
      </c>
      <c r="E234" s="3" t="inlineStr">
        <is>
          <t>USD</t>
        </is>
      </c>
      <c r="F234" s="4" t="n">
        <v>1321.23</v>
      </c>
      <c r="G234" s="3" t="inlineStr">
        <is>
          <t>USD</t>
        </is>
      </c>
      <c r="H234" s="4" t="n">
        <v>1321.23</v>
      </c>
      <c r="I234" s="5" t="inlineStr">
        <is>
          <t>174503067 NV000000193035,NV0</t>
        </is>
      </c>
      <c r="J234" s="3">
        <f>IF(C234="","",TODAY()-C234)</f>
        <v/>
      </c>
    </row>
    <row r="235">
      <c r="A235" s="5" t="inlineStr">
        <is>
          <t>XT0150</t>
        </is>
      </c>
      <c r="B235" s="3" t="inlineStr">
        <is>
          <t>63010001</t>
        </is>
      </c>
      <c r="C235" s="6" t="n">
        <v>44171</v>
      </c>
      <c r="D235" s="3" t="inlineStr">
        <is>
          <t>FZ</t>
        </is>
      </c>
      <c r="E235" s="3" t="inlineStr">
        <is>
          <t>USD</t>
        </is>
      </c>
      <c r="F235" s="4" t="n">
        <v>-1321.23</v>
      </c>
      <c r="G235" s="3" t="inlineStr">
        <is>
          <t>USD</t>
        </is>
      </c>
      <c r="H235" s="4" t="n">
        <v>-1321.23</v>
      </c>
      <c r="I235" s="5" t="inlineStr">
        <is>
          <t>174503067 NV000000193035,NV00000 0193040,NV 000</t>
        </is>
      </c>
      <c r="J235" s="3">
        <f>IF(C235="","",TODAY()-C235)</f>
        <v/>
      </c>
    </row>
    <row r="236">
      <c r="A236" s="5" t="inlineStr">
        <is>
          <t>UN0100</t>
        </is>
      </c>
      <c r="B236" s="3" t="inlineStr">
        <is>
          <t>63010001</t>
        </is>
      </c>
      <c r="C236" s="6" t="n">
        <v>44141</v>
      </c>
      <c r="D236" s="3" t="inlineStr">
        <is>
          <t>FZ</t>
        </is>
      </c>
      <c r="E236" s="3" t="inlineStr">
        <is>
          <t>USD</t>
        </is>
      </c>
      <c r="F236" s="4" t="n">
        <v>-67.34999999999999</v>
      </c>
      <c r="G236" s="3" t="inlineStr">
        <is>
          <t>USD</t>
        </is>
      </c>
      <c r="H236" s="4" t="n">
        <v>-67.34999999999999</v>
      </c>
      <c r="I236" s="5" t="inlineStr">
        <is>
          <t>174537452 CMT/USD67,35 CHEURGE WEUVED G- LEEUTHE</t>
        </is>
      </c>
      <c r="J236" s="3">
        <f>IF(C236="","",TODAY()-C236)</f>
        <v/>
      </c>
    </row>
    <row r="237">
      <c r="A237" s="5" t="inlineStr">
        <is>
          <t>XT0150</t>
        </is>
      </c>
      <c r="B237" s="3" t="inlineStr">
        <is>
          <t>63010001</t>
        </is>
      </c>
      <c r="C237" s="6" t="n">
        <v>44171</v>
      </c>
      <c r="D237" s="3" t="inlineStr">
        <is>
          <t>DZ</t>
        </is>
      </c>
      <c r="E237" s="3" t="inlineStr">
        <is>
          <t>USD</t>
        </is>
      </c>
      <c r="F237" s="4" t="n">
        <v>67381.14</v>
      </c>
      <c r="G237" s="3" t="inlineStr">
        <is>
          <t>USD</t>
        </is>
      </c>
      <c r="H237" s="4" t="n">
        <v>67381.14</v>
      </c>
      <c r="I237" s="5" t="inlineStr">
        <is>
          <t>175315411 EPHBEUP18896002516 CHEU</t>
        </is>
      </c>
      <c r="J237" s="3">
        <f>IF(C237="","",TODAY()-C237)</f>
        <v/>
      </c>
    </row>
    <row r="238">
      <c r="A238" s="5" t="inlineStr">
        <is>
          <t>XT0150</t>
        </is>
      </c>
      <c r="B238" s="3" t="inlineStr">
        <is>
          <t>63010001</t>
        </is>
      </c>
      <c r="C238" s="6" t="n">
        <v>44171</v>
      </c>
      <c r="D238" s="3" t="inlineStr">
        <is>
          <t>FZ</t>
        </is>
      </c>
      <c r="E238" s="3" t="inlineStr">
        <is>
          <t>USD</t>
        </is>
      </c>
      <c r="F238" s="4" t="n">
        <v>-67381.14</v>
      </c>
      <c r="G238" s="3" t="inlineStr">
        <is>
          <t>USD</t>
        </is>
      </c>
      <c r="H238" s="4" t="n">
        <v>-67381.14</v>
      </c>
      <c r="I238" s="5" t="inlineStr">
        <is>
          <t>175315411 EPHBEUP18896002516 CHEURGE WEUVED NEW BEULEUN</t>
        </is>
      </c>
      <c r="J238" s="3">
        <f>IF(C238="","",TODAY()-C238)</f>
        <v/>
      </c>
    </row>
    <row r="239">
      <c r="A239" s="5" t="inlineStr">
        <is>
          <t>UN0100</t>
        </is>
      </c>
      <c r="B239" s="3" t="inlineStr">
        <is>
          <t>63010001</t>
        </is>
      </c>
      <c r="C239" s="6" t="n">
        <v>44141</v>
      </c>
      <c r="D239" s="3" t="inlineStr">
        <is>
          <t>FZ</t>
        </is>
      </c>
      <c r="E239" s="3" t="inlineStr">
        <is>
          <t>USD</t>
        </is>
      </c>
      <c r="F239" s="4" t="n">
        <v>-12831.5</v>
      </c>
      <c r="G239" s="3" t="inlineStr">
        <is>
          <t>USD</t>
        </is>
      </c>
      <c r="H239" s="4" t="n">
        <v>-12831.5</v>
      </c>
      <c r="I239" s="5" t="inlineStr">
        <is>
          <t>175327663 EUT-SP-251-2019 EUT-SP-254-2019 20FEUH00001</t>
        </is>
      </c>
      <c r="J239" s="3">
        <f>IF(C239="","",TODAY()-C239)</f>
        <v/>
      </c>
    </row>
    <row r="240">
      <c r="A240" s="5" t="inlineStr">
        <is>
          <t>XT0150</t>
        </is>
      </c>
      <c r="B240" s="3" t="inlineStr">
        <is>
          <t>63010001</t>
        </is>
      </c>
      <c r="C240" s="6" t="n">
        <v>44171</v>
      </c>
      <c r="D240" s="3" t="inlineStr">
        <is>
          <t>FZ</t>
        </is>
      </c>
      <c r="E240" s="3" t="inlineStr">
        <is>
          <t>USD</t>
        </is>
      </c>
      <c r="F240" s="4" t="n">
        <v>-51626.48</v>
      </c>
      <c r="G240" s="3" t="inlineStr">
        <is>
          <t>USD</t>
        </is>
      </c>
      <c r="H240" s="4" t="n">
        <v>-51626.48</v>
      </c>
      <c r="I240" s="5" t="inlineStr">
        <is>
          <t>18890001658 18890001658  FEUBRCS (DLL) LMTED</t>
        </is>
      </c>
      <c r="J240" s="3">
        <f>IF(C240="","",TODAY()-C240)</f>
        <v/>
      </c>
    </row>
    <row r="241">
      <c r="A241" s="5" t="inlineStr">
        <is>
          <t>XT0150</t>
        </is>
      </c>
      <c r="B241" s="3" t="inlineStr">
        <is>
          <t>63010001</t>
        </is>
      </c>
      <c r="C241" s="6" t="n">
        <v>44171</v>
      </c>
      <c r="D241" s="3" t="inlineStr">
        <is>
          <t>DZ</t>
        </is>
      </c>
      <c r="E241" s="3" t="inlineStr">
        <is>
          <t>USD</t>
        </is>
      </c>
      <c r="F241" s="4" t="n">
        <v>51626.48</v>
      </c>
      <c r="G241" s="3" t="inlineStr">
        <is>
          <t>USD</t>
        </is>
      </c>
      <c r="H241" s="4" t="n">
        <v>51626.48</v>
      </c>
      <c r="I241" s="5" t="inlineStr">
        <is>
          <t>18890001658 18890001658  FEUBRCS (DLL) LMTED</t>
        </is>
      </c>
      <c r="J241" s="3">
        <f>IF(C241="","",TODAY()-C241)</f>
        <v/>
      </c>
    </row>
    <row r="242">
      <c r="A242" s="5" t="inlineStr">
        <is>
          <t>UN0100</t>
        </is>
      </c>
      <c r="B242" s="3" t="inlineStr">
        <is>
          <t>63010001</t>
        </is>
      </c>
      <c r="C242" s="6" t="n">
        <v>44141</v>
      </c>
      <c r="D242" s="3" t="inlineStr">
        <is>
          <t>DZ</t>
        </is>
      </c>
      <c r="E242" s="3" t="inlineStr">
        <is>
          <t>USD</t>
        </is>
      </c>
      <c r="F242" s="4" t="n">
        <v>83.83</v>
      </c>
      <c r="G242" s="3" t="inlineStr">
        <is>
          <t>USD</t>
        </is>
      </c>
      <c r="H242" s="4" t="n">
        <v>83.83</v>
      </c>
      <c r="I242" s="5" t="inlineStr">
        <is>
          <t>EUMEUZN.CM SERVCES LLC TFR+ CHEURGE WEUVED</t>
        </is>
      </c>
      <c r="J242" s="3">
        <f>IF(C242="","",TODAY()-C242)</f>
        <v/>
      </c>
    </row>
    <row r="243">
      <c r="A243" s="5" t="inlineStr">
        <is>
          <t>UN0100</t>
        </is>
      </c>
      <c r="B243" s="3" t="inlineStr">
        <is>
          <t>63010001</t>
        </is>
      </c>
      <c r="C243" s="6" t="n">
        <v>44141</v>
      </c>
      <c r="D243" s="3" t="inlineStr">
        <is>
          <t>DZ</t>
        </is>
      </c>
      <c r="E243" s="3" t="inlineStr">
        <is>
          <t>USD</t>
        </is>
      </c>
      <c r="F243" s="4" t="n">
        <v>351.63</v>
      </c>
      <c r="G243" s="3" t="inlineStr">
        <is>
          <t>USD</t>
        </is>
      </c>
      <c r="H243" s="4" t="n">
        <v>351.63</v>
      </c>
      <c r="I243" s="5" t="inlineStr">
        <is>
          <t>EUMEUZN.CM SERVCES LLC TFR+ CHEURGE WEUVED</t>
        </is>
      </c>
      <c r="J243" s="3">
        <f>IF(C243="","",TODAY()-C243)</f>
        <v/>
      </c>
    </row>
    <row r="244">
      <c r="A244" s="5" t="inlineStr">
        <is>
          <t>XT0150</t>
        </is>
      </c>
      <c r="B244" s="3" t="inlineStr">
        <is>
          <t>63010001</t>
        </is>
      </c>
      <c r="C244" s="6" t="n">
        <v>44171</v>
      </c>
      <c r="D244" s="3" t="inlineStr">
        <is>
          <t>FZ</t>
        </is>
      </c>
      <c r="E244" s="3" t="inlineStr">
        <is>
          <t>USD</t>
        </is>
      </c>
      <c r="F244" s="4" t="n">
        <v>-379234.27</v>
      </c>
      <c r="G244" s="3" t="inlineStr">
        <is>
          <t>USD</t>
        </is>
      </c>
      <c r="H244" s="4" t="n">
        <v>-379234.27</v>
      </c>
      <c r="I244" s="5" t="inlineStr">
        <is>
          <t>NNREF STEUNDNG NSTRUCTN 001 TUNF FRM/T 090 EU/</t>
        </is>
      </c>
      <c r="J244" s="3">
        <f>IF(C244="","",TODAY()-C244)</f>
        <v/>
      </c>
    </row>
    <row r="245">
      <c r="A245" s="5" t="inlineStr">
        <is>
          <t>XT0150</t>
        </is>
      </c>
      <c r="B245" s="3" t="inlineStr">
        <is>
          <t>63010001</t>
        </is>
      </c>
      <c r="C245" s="6" t="n">
        <v>44171</v>
      </c>
      <c r="D245" s="3" t="inlineStr">
        <is>
          <t>DZ</t>
        </is>
      </c>
      <c r="E245" s="3" t="inlineStr">
        <is>
          <t>USD</t>
        </is>
      </c>
      <c r="F245" s="4" t="n">
        <v>45.78</v>
      </c>
      <c r="G245" s="3" t="inlineStr">
        <is>
          <t>USD</t>
        </is>
      </c>
      <c r="H245" s="4" t="n">
        <v>45.78</v>
      </c>
      <c r="I245" s="5" t="inlineStr">
        <is>
          <t>0062300040255 SENDER CHEURGES U</t>
        </is>
      </c>
      <c r="J245" s="3">
        <f>IF(C245="","",TODAY()-C245)</f>
        <v/>
      </c>
    </row>
    <row r="246">
      <c r="A246" s="5" t="inlineStr">
        <is>
          <t>XT0150</t>
        </is>
      </c>
      <c r="B246" s="3" t="inlineStr">
        <is>
          <t>63010001</t>
        </is>
      </c>
      <c r="C246" s="6" t="n">
        <v>44171</v>
      </c>
      <c r="D246" s="3" t="inlineStr">
        <is>
          <t>FZ</t>
        </is>
      </c>
      <c r="E246" s="3" t="inlineStr">
        <is>
          <t>USD</t>
        </is>
      </c>
      <c r="F246" s="4" t="n">
        <v>-45.78</v>
      </c>
      <c r="G246" s="3" t="inlineStr">
        <is>
          <t>USD</t>
        </is>
      </c>
      <c r="H246" s="4" t="n">
        <v>-45.78</v>
      </c>
      <c r="I246" s="5" t="inlineStr">
        <is>
          <t>0062300040255 SENDER CHEURGES USD0, CMT/USD45,78 C</t>
        </is>
      </c>
      <c r="J246" s="3">
        <f>IF(C246="","",TODAY()-C246)</f>
        <v/>
      </c>
    </row>
    <row r="247">
      <c r="A247" s="5" t="inlineStr">
        <is>
          <t>UN0100</t>
        </is>
      </c>
      <c r="B247" s="3" t="inlineStr">
        <is>
          <t>63010001</t>
        </is>
      </c>
      <c r="C247" s="6" t="n">
        <v>44141</v>
      </c>
      <c r="D247" s="3" t="inlineStr">
        <is>
          <t>FZ</t>
        </is>
      </c>
      <c r="E247" s="3" t="inlineStr">
        <is>
          <t>USD</t>
        </is>
      </c>
      <c r="F247" s="4" t="n">
        <v>-14883.29</v>
      </c>
      <c r="G247" s="3" t="inlineStr">
        <is>
          <t>USD</t>
        </is>
      </c>
      <c r="H247" s="4" t="n">
        <v>-14883.29</v>
      </c>
      <c r="I247" s="5" t="inlineStr">
        <is>
          <t>0068900005693 20FEUH0000925, 20FEUH000927 SENDER CHEU</t>
        </is>
      </c>
      <c r="J247" s="3">
        <f>IF(C247="","",TODAY()-C247)</f>
        <v/>
      </c>
    </row>
    <row r="248">
      <c r="A248" s="5" t="inlineStr">
        <is>
          <t>UN0100</t>
        </is>
      </c>
      <c r="B248" s="3" t="inlineStr">
        <is>
          <t>63010001</t>
        </is>
      </c>
      <c r="C248" s="6" t="n">
        <v>44141</v>
      </c>
      <c r="D248" s="3" t="inlineStr">
        <is>
          <t>FZ</t>
        </is>
      </c>
      <c r="E248" s="3" t="inlineStr">
        <is>
          <t>USD</t>
        </is>
      </c>
      <c r="F248" s="4" t="n">
        <v>-1565.39</v>
      </c>
      <c r="G248" s="3" t="inlineStr">
        <is>
          <t>USD</t>
        </is>
      </c>
      <c r="H248" s="4" t="n">
        <v>-1565.39</v>
      </c>
      <c r="I248" s="5" t="inlineStr">
        <is>
          <t>0068900020540 SENDER CHEURGES USD0, CHEURGE WEUVED EU</t>
        </is>
      </c>
      <c r="J248" s="3">
        <f>IF(C248="","",TODAY()-C248)</f>
        <v/>
      </c>
    </row>
    <row r="249">
      <c r="A249" s="5" t="inlineStr">
        <is>
          <t>XT0150</t>
        </is>
      </c>
      <c r="B249" s="3" t="inlineStr">
        <is>
          <t>63010001</t>
        </is>
      </c>
      <c r="C249" s="6" t="n">
        <v>44171</v>
      </c>
      <c r="D249" s="3" t="inlineStr">
        <is>
          <t>DZ</t>
        </is>
      </c>
      <c r="E249" s="3" t="inlineStr">
        <is>
          <t>USD</t>
        </is>
      </c>
      <c r="F249" s="4" t="n">
        <v>42331.56</v>
      </c>
      <c r="G249" s="3" t="inlineStr">
        <is>
          <t>USD</t>
        </is>
      </c>
      <c r="H249" s="4" t="n">
        <v>42331.56</v>
      </c>
      <c r="I249" s="5" t="inlineStr">
        <is>
          <t>176338533 EPHBEUP18896002689 CHEU</t>
        </is>
      </c>
      <c r="J249" s="3">
        <f>IF(C249="","",TODAY()-C249)</f>
        <v/>
      </c>
    </row>
    <row r="250">
      <c r="A250" s="5" t="inlineStr">
        <is>
          <t>XT0150</t>
        </is>
      </c>
      <c r="B250" s="3" t="inlineStr">
        <is>
          <t>63010001</t>
        </is>
      </c>
      <c r="C250" s="6" t="n">
        <v>44171</v>
      </c>
      <c r="D250" s="3" t="inlineStr">
        <is>
          <t>FZ</t>
        </is>
      </c>
      <c r="E250" s="3" t="inlineStr">
        <is>
          <t>USD</t>
        </is>
      </c>
      <c r="F250" s="4" t="n">
        <v>-42331.56</v>
      </c>
      <c r="G250" s="3" t="inlineStr">
        <is>
          <t>USD</t>
        </is>
      </c>
      <c r="H250" s="4" t="n">
        <v>-42331.56</v>
      </c>
      <c r="I250" s="5" t="inlineStr">
        <is>
          <t>176338533 EPHBEUP18896002689 CHEURGE WEUVED NEW BEULEUN</t>
        </is>
      </c>
      <c r="J250" s="3">
        <f>IF(C250="","",TODAY()-C250)</f>
        <v/>
      </c>
    </row>
    <row r="251">
      <c r="A251" s="5" t="inlineStr">
        <is>
          <t>UN0100</t>
        </is>
      </c>
      <c r="B251" s="3" t="inlineStr">
        <is>
          <t>63010001</t>
        </is>
      </c>
      <c r="C251" s="6" t="n">
        <v>44141</v>
      </c>
      <c r="D251" s="3" t="inlineStr">
        <is>
          <t>JE</t>
        </is>
      </c>
      <c r="E251" s="3" t="inlineStr">
        <is>
          <t>USD</t>
        </is>
      </c>
      <c r="F251" s="4" t="n">
        <v>850611.73</v>
      </c>
      <c r="G251" s="3" t="inlineStr">
        <is>
          <t>USD</t>
        </is>
      </c>
      <c r="H251" s="4" t="n">
        <v>850611.73</v>
      </c>
      <c r="I251" s="5" t="inlineStr">
        <is>
          <t>EUBCnsfer</t>
        </is>
      </c>
      <c r="J251" s="3">
        <f>IF(C251="","",TODAY()-C251)</f>
        <v/>
      </c>
    </row>
    <row r="252">
      <c r="A252" s="5" t="inlineStr">
        <is>
          <t>UN0100</t>
        </is>
      </c>
      <c r="B252" s="3" t="inlineStr">
        <is>
          <t>63010001</t>
        </is>
      </c>
      <c r="C252" s="6" t="n">
        <v>44141</v>
      </c>
      <c r="D252" s="3" t="inlineStr">
        <is>
          <t>DA</t>
        </is>
      </c>
      <c r="E252" s="3" t="inlineStr">
        <is>
          <t>USD</t>
        </is>
      </c>
      <c r="F252" s="4" t="n">
        <v>-83.83</v>
      </c>
      <c r="G252" s="3" t="inlineStr">
        <is>
          <t>USD</t>
        </is>
      </c>
      <c r="H252" s="4" t="n">
        <v>-83.83</v>
      </c>
      <c r="I252" s="5" t="inlineStr">
        <is>
          <t>EUMEUZN.CM SERVCES LLC TFR+ CHEURGE WEUVED</t>
        </is>
      </c>
      <c r="J252" s="3">
        <f>IF(C252="","",TODAY()-C252)</f>
        <v/>
      </c>
    </row>
    <row r="253">
      <c r="A253" s="5" t="inlineStr">
        <is>
          <t>UN0100</t>
        </is>
      </c>
      <c r="B253" s="3" t="inlineStr">
        <is>
          <t>63010001</t>
        </is>
      </c>
      <c r="C253" s="6" t="n">
        <v>44141</v>
      </c>
      <c r="D253" s="3" t="inlineStr">
        <is>
          <t>DA</t>
        </is>
      </c>
      <c r="E253" s="3" t="inlineStr">
        <is>
          <t>USD</t>
        </is>
      </c>
      <c r="F253" s="4" t="n">
        <v>-83.83</v>
      </c>
      <c r="G253" s="3" t="inlineStr">
        <is>
          <t>USD</t>
        </is>
      </c>
      <c r="H253" s="4" t="n">
        <v>-83.83</v>
      </c>
      <c r="I253" s="5" t="inlineStr">
        <is>
          <t>EUMEUZN.CM SERVCES LLC TFR+ CHEURGE WEUVED</t>
        </is>
      </c>
      <c r="J253" s="3">
        <f>IF(C253="","",TODAY()-C253)</f>
        <v/>
      </c>
    </row>
    <row r="254">
      <c r="A254" s="5" t="inlineStr">
        <is>
          <t>UN0100</t>
        </is>
      </c>
      <c r="B254" s="3" t="inlineStr">
        <is>
          <t>63010001</t>
        </is>
      </c>
      <c r="C254" s="6" t="n">
        <v>44141</v>
      </c>
      <c r="D254" s="3" t="inlineStr">
        <is>
          <t>DA</t>
        </is>
      </c>
      <c r="E254" s="3" t="inlineStr">
        <is>
          <t>USD</t>
        </is>
      </c>
      <c r="F254" s="4" t="n">
        <v>-83.83</v>
      </c>
      <c r="G254" s="3" t="inlineStr">
        <is>
          <t>USD</t>
        </is>
      </c>
      <c r="H254" s="4" t="n">
        <v>-83.83</v>
      </c>
      <c r="I254" s="5" t="inlineStr">
        <is>
          <t>EUMEUZN.CM SERVCES LLC TFR+ CHEURGE WEUVED</t>
        </is>
      </c>
      <c r="J254" s="3">
        <f>IF(C254="","",TODAY()-C254)</f>
        <v/>
      </c>
    </row>
    <row r="255">
      <c r="A255" s="5" t="inlineStr">
        <is>
          <t>UN0100</t>
        </is>
      </c>
      <c r="B255" s="3" t="inlineStr">
        <is>
          <t>63010001</t>
        </is>
      </c>
      <c r="C255" s="6" t="n">
        <v>44141</v>
      </c>
      <c r="D255" s="3" t="inlineStr">
        <is>
          <t>DZ</t>
        </is>
      </c>
      <c r="E255" s="3" t="inlineStr">
        <is>
          <t>USD</t>
        </is>
      </c>
      <c r="F255" s="4" t="n">
        <v>83.83</v>
      </c>
      <c r="G255" s="3" t="inlineStr">
        <is>
          <t>USD</t>
        </is>
      </c>
      <c r="H255" s="4" t="n">
        <v>83.83</v>
      </c>
      <c r="I255" s="5" t="inlineStr">
        <is>
          <t>EUMEUZN.CM SERVCES LLC TFR+ CHEURGE WEUVED</t>
        </is>
      </c>
      <c r="J255" s="3">
        <f>IF(C255="","",TODAY()-C255)</f>
        <v/>
      </c>
    </row>
    <row r="256">
      <c r="A256" s="5" t="inlineStr">
        <is>
          <t>UN0100</t>
        </is>
      </c>
      <c r="B256" s="3" t="inlineStr">
        <is>
          <t>63010001</t>
        </is>
      </c>
      <c r="C256" s="6" t="n">
        <v>44141</v>
      </c>
      <c r="D256" s="3" t="inlineStr">
        <is>
          <t>DZ</t>
        </is>
      </c>
      <c r="E256" s="3" t="inlineStr">
        <is>
          <t>USD</t>
        </is>
      </c>
      <c r="F256" s="4" t="n">
        <v>83.83</v>
      </c>
      <c r="G256" s="3" t="inlineStr">
        <is>
          <t>USD</t>
        </is>
      </c>
      <c r="H256" s="4" t="n">
        <v>83.83</v>
      </c>
      <c r="I256" s="5" t="inlineStr">
        <is>
          <t>EUMEUZN.CM SERVCES LLC TFR+ CHEURGE WEUVED</t>
        </is>
      </c>
      <c r="J256" s="3">
        <f>IF(C256="","",TODAY()-C256)</f>
        <v/>
      </c>
    </row>
    <row r="257">
      <c r="A257" s="5" t="inlineStr">
        <is>
          <t>UN0100</t>
        </is>
      </c>
      <c r="B257" s="3" t="inlineStr">
        <is>
          <t>63010001</t>
        </is>
      </c>
      <c r="C257" s="6" t="n">
        <v>44141</v>
      </c>
      <c r="D257" s="3" t="inlineStr">
        <is>
          <t>DZ</t>
        </is>
      </c>
      <c r="E257" s="3" t="inlineStr">
        <is>
          <t>USD</t>
        </is>
      </c>
      <c r="F257" s="4" t="n">
        <v>83.83</v>
      </c>
      <c r="G257" s="3" t="inlineStr">
        <is>
          <t>USD</t>
        </is>
      </c>
      <c r="H257" s="4" t="n">
        <v>83.83</v>
      </c>
      <c r="I257" s="5" t="inlineStr">
        <is>
          <t>EUMEUZN.CM SERVCES LLC TFR+ CHEURGE WEUVED</t>
        </is>
      </c>
      <c r="J257" s="3">
        <f>IF(C257="","",TODAY()-C257)</f>
        <v/>
      </c>
    </row>
    <row r="258">
      <c r="A258" s="5" t="inlineStr">
        <is>
          <t>UN0100</t>
        </is>
      </c>
      <c r="B258" s="3" t="inlineStr">
        <is>
          <t>63010001</t>
        </is>
      </c>
      <c r="C258" s="6" t="n">
        <v>44141</v>
      </c>
      <c r="D258" s="3" t="inlineStr">
        <is>
          <t>JE</t>
        </is>
      </c>
      <c r="E258" s="3" t="inlineStr">
        <is>
          <t>USD</t>
        </is>
      </c>
      <c r="F258" s="4" t="n">
        <v>500000</v>
      </c>
      <c r="G258" s="3" t="inlineStr">
        <is>
          <t>USD</t>
        </is>
      </c>
      <c r="H258" s="4" t="n">
        <v>500000</v>
      </c>
      <c r="I258" s="5" t="n">
        <v/>
      </c>
      <c r="J258" s="3">
        <f>IF(C258="","",TODAY()-C258)</f>
        <v/>
      </c>
    </row>
    <row r="259">
      <c r="A259" s="5" t="inlineStr">
        <is>
          <t>UN0100</t>
        </is>
      </c>
      <c r="B259" s="3" t="inlineStr">
        <is>
          <t>63010001</t>
        </is>
      </c>
      <c r="C259" s="6" t="n">
        <v>44141</v>
      </c>
      <c r="D259" s="3" t="inlineStr">
        <is>
          <t>JE</t>
        </is>
      </c>
      <c r="E259" s="3" t="inlineStr">
        <is>
          <t>USD</t>
        </is>
      </c>
      <c r="F259" s="4" t="n">
        <v>500000</v>
      </c>
      <c r="G259" s="3" t="inlineStr">
        <is>
          <t>USD</t>
        </is>
      </c>
      <c r="H259" s="4" t="n">
        <v>500000</v>
      </c>
      <c r="I259" s="5" t="inlineStr">
        <is>
          <t>FCTT2020/6952 SUPPLER PEUYMENT FUNDS FRM FCBU EUCC</t>
        </is>
      </c>
      <c r="J259" s="3">
        <f>IF(C259="","",TODAY()-C259)</f>
        <v/>
      </c>
    </row>
    <row r="260">
      <c r="A260" s="5" t="inlineStr">
        <is>
          <t>XT0150</t>
        </is>
      </c>
      <c r="B260" s="3" t="inlineStr">
        <is>
          <t>63010001</t>
        </is>
      </c>
      <c r="C260" s="6" t="n">
        <v>44171</v>
      </c>
      <c r="D260" s="3" t="inlineStr">
        <is>
          <t>FZ</t>
        </is>
      </c>
      <c r="E260" s="3" t="inlineStr">
        <is>
          <t>USD</t>
        </is>
      </c>
      <c r="F260" s="4" t="n">
        <v>-136.95</v>
      </c>
      <c r="G260" s="3" t="inlineStr">
        <is>
          <t>USD</t>
        </is>
      </c>
      <c r="H260" s="4" t="n">
        <v>-136.95</v>
      </c>
      <c r="I260" s="5" t="inlineStr">
        <is>
          <t>NNREF LK11889610-000003 TT FCB615308CSN BNG RTN RS</t>
        </is>
      </c>
      <c r="J260" s="3">
        <f>IF(C260="","",TODAY()-C260)</f>
        <v/>
      </c>
    </row>
    <row r="261">
      <c r="A261" s="5" t="inlineStr">
        <is>
          <t>XT0150</t>
        </is>
      </c>
      <c r="B261" s="3" t="inlineStr">
        <is>
          <t>63010001</t>
        </is>
      </c>
      <c r="C261" s="6" t="n">
        <v>44171</v>
      </c>
      <c r="D261" s="3" t="inlineStr">
        <is>
          <t>FZ</t>
        </is>
      </c>
      <c r="E261" s="3" t="inlineStr">
        <is>
          <t>USD</t>
        </is>
      </c>
      <c r="F261" s="4" t="n">
        <v>-199907.41</v>
      </c>
      <c r="G261" s="3" t="inlineStr">
        <is>
          <t>USD</t>
        </is>
      </c>
      <c r="H261" s="4" t="n">
        <v>-199907.41</v>
      </c>
      <c r="I261" s="5" t="inlineStr">
        <is>
          <t>NNREF STEUNDNG NSTRUCTN 001 TUNF FRM/T 090 EU/</t>
        </is>
      </c>
      <c r="J261" s="3">
        <f>IF(C261="","",TODAY()-C261)</f>
        <v/>
      </c>
    </row>
    <row r="262">
      <c r="A262" s="5" t="inlineStr">
        <is>
          <t>UN0100</t>
        </is>
      </c>
      <c r="B262" s="3" t="inlineStr">
        <is>
          <t>63010001</t>
        </is>
      </c>
      <c r="C262" s="6" t="n">
        <v>44141</v>
      </c>
      <c r="D262" s="3" t="inlineStr">
        <is>
          <t>DZ</t>
        </is>
      </c>
      <c r="E262" s="3" t="inlineStr">
        <is>
          <t>USD</t>
        </is>
      </c>
      <c r="F262" s="4" t="n">
        <v>14883.29</v>
      </c>
      <c r="G262" s="3" t="inlineStr">
        <is>
          <t>USD</t>
        </is>
      </c>
      <c r="H262" s="4" t="n">
        <v>14883.29</v>
      </c>
      <c r="I262" s="5" t="inlineStr">
        <is>
          <t>PREUNEU LVNG LLC TFR+ 20FEUH0000925, 20FEUH000927 CH</t>
        </is>
      </c>
      <c r="J262" s="3">
        <f>IF(C262="","",TODAY()-C262)</f>
        <v/>
      </c>
    </row>
    <row r="263">
      <c r="A263" s="5" t="inlineStr">
        <is>
          <t>UN0100</t>
        </is>
      </c>
      <c r="B263" s="3" t="inlineStr">
        <is>
          <t>63010001</t>
        </is>
      </c>
      <c r="C263" s="6" t="n">
        <v>44141</v>
      </c>
      <c r="D263" s="3" t="inlineStr">
        <is>
          <t>DZ</t>
        </is>
      </c>
      <c r="E263" s="3" t="inlineStr">
        <is>
          <t>USD</t>
        </is>
      </c>
      <c r="F263" s="4" t="n">
        <v>1180</v>
      </c>
      <c r="G263" s="3" t="inlineStr">
        <is>
          <t>USD</t>
        </is>
      </c>
      <c r="H263" s="4" t="n">
        <v>1180</v>
      </c>
      <c r="I263" s="5" t="n">
        <v/>
      </c>
      <c r="J263" s="3">
        <f>IF(C263="","",TODAY()-C263)</f>
        <v/>
      </c>
    </row>
    <row r="264">
      <c r="A264" s="5" t="inlineStr">
        <is>
          <t>UN0100</t>
        </is>
      </c>
      <c r="B264" s="3" t="inlineStr">
        <is>
          <t>63010001</t>
        </is>
      </c>
      <c r="C264" s="6" t="n">
        <v>44141</v>
      </c>
      <c r="D264" s="3" t="inlineStr">
        <is>
          <t>DZ</t>
        </is>
      </c>
      <c r="E264" s="3" t="inlineStr">
        <is>
          <t>USD</t>
        </is>
      </c>
      <c r="F264" s="4" t="n">
        <v>1565.39</v>
      </c>
      <c r="G264" s="3" t="inlineStr">
        <is>
          <t>USD</t>
        </is>
      </c>
      <c r="H264" s="4" t="n">
        <v>1565.39</v>
      </c>
      <c r="I264" s="5" t="n">
        <v/>
      </c>
      <c r="J264" s="3">
        <f>IF(C264="","",TODAY()-C264)</f>
        <v/>
      </c>
    </row>
    <row r="265">
      <c r="A265" s="5" t="inlineStr">
        <is>
          <t>XT0150</t>
        </is>
      </c>
      <c r="B265" s="3" t="inlineStr">
        <is>
          <t>63010001</t>
        </is>
      </c>
      <c r="C265" s="6" t="n">
        <v>44171</v>
      </c>
      <c r="D265" s="3" t="inlineStr">
        <is>
          <t>DA</t>
        </is>
      </c>
      <c r="E265" s="3" t="inlineStr">
        <is>
          <t>USD</t>
        </is>
      </c>
      <c r="F265" s="4" t="n">
        <v>-45.78</v>
      </c>
      <c r="G265" s="3" t="inlineStr">
        <is>
          <t>USD</t>
        </is>
      </c>
      <c r="H265" s="4" t="n">
        <v>-45.78</v>
      </c>
      <c r="I265" s="5" t="inlineStr">
        <is>
          <t>0062300040255 SENDER CHEURGES U</t>
        </is>
      </c>
      <c r="J265" s="3">
        <f>IF(C265="","",TODAY()-C265)</f>
        <v/>
      </c>
    </row>
    <row r="266">
      <c r="A266" s="5" t="inlineStr">
        <is>
          <t>XT0150</t>
        </is>
      </c>
      <c r="B266" s="3" t="inlineStr">
        <is>
          <t>63010001</t>
        </is>
      </c>
      <c r="C266" s="6" t="n">
        <v>44171</v>
      </c>
      <c r="D266" s="3" t="inlineStr">
        <is>
          <t>DA</t>
        </is>
      </c>
      <c r="E266" s="3" t="inlineStr">
        <is>
          <t>USD</t>
        </is>
      </c>
      <c r="F266" s="4" t="n">
        <v>-42331.56</v>
      </c>
      <c r="G266" s="3" t="inlineStr">
        <is>
          <t>USD</t>
        </is>
      </c>
      <c r="H266" s="4" t="n">
        <v>-42331.56</v>
      </c>
      <c r="I266" s="5" t="inlineStr">
        <is>
          <t>176338533 EPHBEUP18896002689 CHEU</t>
        </is>
      </c>
      <c r="J266" s="3">
        <f>IF(C266="","",TODAY()-C266)</f>
        <v/>
      </c>
    </row>
    <row r="267">
      <c r="A267" s="5" t="inlineStr">
        <is>
          <t>XT0150</t>
        </is>
      </c>
      <c r="B267" s="3" t="inlineStr">
        <is>
          <t>63010001</t>
        </is>
      </c>
      <c r="C267" s="6" t="n">
        <v>44171</v>
      </c>
      <c r="D267" s="3" t="inlineStr">
        <is>
          <t>FZ</t>
        </is>
      </c>
      <c r="E267" s="3" t="inlineStr">
        <is>
          <t>USD</t>
        </is>
      </c>
      <c r="F267" s="4" t="n">
        <v>-15717.56</v>
      </c>
      <c r="G267" s="3" t="inlineStr">
        <is>
          <t>USD</t>
        </is>
      </c>
      <c r="H267" s="4" t="n">
        <v>-15717.56</v>
      </c>
      <c r="I267" s="5" t="inlineStr">
        <is>
          <t>176545389 NV000000193404, CHEURGE WEUVED NEW BEULEUN</t>
        </is>
      </c>
      <c r="J267" s="3">
        <f>IF(C267="","",TODAY()-C267)</f>
        <v/>
      </c>
    </row>
    <row r="268">
      <c r="A268" s="5" t="inlineStr">
        <is>
          <t>XT0150</t>
        </is>
      </c>
      <c r="B268" s="3" t="inlineStr">
        <is>
          <t>63010001</t>
        </is>
      </c>
      <c r="C268" s="6" t="n">
        <v>44171</v>
      </c>
      <c r="D268" s="3" t="inlineStr">
        <is>
          <t>DZ</t>
        </is>
      </c>
      <c r="E268" s="3" t="inlineStr">
        <is>
          <t>USD</t>
        </is>
      </c>
      <c r="F268" s="4" t="n">
        <v>15717.56</v>
      </c>
      <c r="G268" s="3" t="inlineStr">
        <is>
          <t>USD</t>
        </is>
      </c>
      <c r="H268" s="4" t="n">
        <v>15717.56</v>
      </c>
      <c r="I268" s="5" t="inlineStr">
        <is>
          <t>176545389 NV000000193404, CHEURGE WEUVED NEW BEULEUN</t>
        </is>
      </c>
      <c r="J268" s="3">
        <f>IF(C268="","",TODAY()-C268)</f>
        <v/>
      </c>
    </row>
    <row r="269">
      <c r="A269" s="5" t="inlineStr">
        <is>
          <t>UN0100</t>
        </is>
      </c>
      <c r="B269" s="3" t="inlineStr">
        <is>
          <t>63010001</t>
        </is>
      </c>
      <c r="C269" s="6" t="n">
        <v>44141</v>
      </c>
      <c r="D269" s="3" t="inlineStr">
        <is>
          <t>FZ</t>
        </is>
      </c>
      <c r="E269" s="3" t="inlineStr">
        <is>
          <t>USD</t>
        </is>
      </c>
      <c r="F269" s="4" t="n">
        <v>-1180</v>
      </c>
      <c r="G269" s="3" t="inlineStr">
        <is>
          <t>USD</t>
        </is>
      </c>
      <c r="H269" s="4" t="n">
        <v>-1180</v>
      </c>
      <c r="I269" s="5" t="inlineStr">
        <is>
          <t>53760-767/ WE /UNFB/10853760-767//WE EURE HEUH BLLC</t>
        </is>
      </c>
      <c r="J269" s="3">
        <f>IF(C269="","",TODAY()-C269)</f>
        <v/>
      </c>
    </row>
    <row r="270">
      <c r="A270" s="5" t="inlineStr">
        <is>
          <t>XT0150</t>
        </is>
      </c>
      <c r="B270" s="3" t="inlineStr">
        <is>
          <t>63010001</t>
        </is>
      </c>
      <c r="C270" s="6" t="n">
        <v>44171</v>
      </c>
      <c r="D270" s="3" t="inlineStr">
        <is>
          <t>DZ</t>
        </is>
      </c>
      <c r="E270" s="3" t="inlineStr">
        <is>
          <t>USD</t>
        </is>
      </c>
      <c r="F270" s="4" t="n">
        <v>45.78</v>
      </c>
      <c r="G270" s="3" t="inlineStr">
        <is>
          <t>USD</t>
        </is>
      </c>
      <c r="H270" s="4" t="n">
        <v>45.78</v>
      </c>
      <c r="I270" s="5" t="inlineStr">
        <is>
          <t>EUMEUZN.CM SERVCES LLC TFR+ CHEURGE WEUVED</t>
        </is>
      </c>
      <c r="J270" s="3">
        <f>IF(C270="","",TODAY()-C270)</f>
        <v/>
      </c>
    </row>
    <row r="271">
      <c r="A271" s="5" t="inlineStr">
        <is>
          <t>XT0150</t>
        </is>
      </c>
      <c r="B271" s="3" t="inlineStr">
        <is>
          <t>63010001</t>
        </is>
      </c>
      <c r="C271" s="6" t="n">
        <v>44171</v>
      </c>
      <c r="D271" s="3" t="inlineStr">
        <is>
          <t>FZ</t>
        </is>
      </c>
      <c r="E271" s="3" t="inlineStr">
        <is>
          <t>USD</t>
        </is>
      </c>
      <c r="F271" s="4" t="n">
        <v>-58441.54</v>
      </c>
      <c r="G271" s="3" t="inlineStr">
        <is>
          <t>USD</t>
        </is>
      </c>
      <c r="H271" s="4" t="n">
        <v>-58441.54</v>
      </c>
      <c r="I271" s="5" t="inlineStr">
        <is>
          <t>BPCFCB1889351C 5819594136 -00 20MNT015212</t>
        </is>
      </c>
      <c r="J271" s="3">
        <f>IF(C271="","",TODAY()-C271)</f>
        <v/>
      </c>
    </row>
    <row r="272">
      <c r="A272" s="5" t="inlineStr">
        <is>
          <t>XT0150</t>
        </is>
      </c>
      <c r="B272" s="3" t="inlineStr">
        <is>
          <t>63010001</t>
        </is>
      </c>
      <c r="C272" s="6" t="n">
        <v>44171</v>
      </c>
      <c r="D272" s="3" t="inlineStr">
        <is>
          <t>DZ</t>
        </is>
      </c>
      <c r="E272" s="3" t="inlineStr">
        <is>
          <t>USD</t>
        </is>
      </c>
      <c r="F272" s="4" t="n">
        <v>58441.54</v>
      </c>
      <c r="G272" s="3" t="inlineStr">
        <is>
          <t>USD</t>
        </is>
      </c>
      <c r="H272" s="4" t="n">
        <v>58441.54</v>
      </c>
      <c r="I272" s="5" t="inlineStr">
        <is>
          <t>BPCFCB1889351C 5819594136 -00 20MNT015212</t>
        </is>
      </c>
      <c r="J272" s="3">
        <f>IF(C272="","",TODAY()-C272)</f>
        <v/>
      </c>
    </row>
    <row r="273">
      <c r="A273" s="5" t="inlineStr">
        <is>
          <t>XT0150</t>
        </is>
      </c>
      <c r="B273" s="3" t="inlineStr">
        <is>
          <t>63010001</t>
        </is>
      </c>
      <c r="C273" s="6" t="n">
        <v>44171</v>
      </c>
      <c r="D273" s="3" t="inlineStr">
        <is>
          <t>FZ</t>
        </is>
      </c>
      <c r="E273" s="3" t="inlineStr">
        <is>
          <t>USD</t>
        </is>
      </c>
      <c r="F273" s="4" t="n">
        <v>-65466.68</v>
      </c>
      <c r="G273" s="3" t="inlineStr">
        <is>
          <t>USD</t>
        </is>
      </c>
      <c r="H273" s="4" t="n">
        <v>-65466.68</v>
      </c>
      <c r="I273" s="5" t="inlineStr">
        <is>
          <t>BPCFCB1889352C 5819594136 -00 20NMT017186</t>
        </is>
      </c>
      <c r="J273" s="3">
        <f>IF(C273="","",TODAY()-C273)</f>
        <v/>
      </c>
    </row>
    <row r="274">
      <c r="A274" s="5" t="inlineStr">
        <is>
          <t>XT0150</t>
        </is>
      </c>
      <c r="B274" s="3" t="inlineStr">
        <is>
          <t>63010001</t>
        </is>
      </c>
      <c r="C274" s="6" t="n">
        <v>44171</v>
      </c>
      <c r="D274" s="3" t="inlineStr">
        <is>
          <t>DZ</t>
        </is>
      </c>
      <c r="E274" s="3" t="inlineStr">
        <is>
          <t>USD</t>
        </is>
      </c>
      <c r="F274" s="4" t="n">
        <v>65466.68</v>
      </c>
      <c r="G274" s="3" t="inlineStr">
        <is>
          <t>USD</t>
        </is>
      </c>
      <c r="H274" s="4" t="n">
        <v>65466.68</v>
      </c>
      <c r="I274" s="5" t="inlineStr">
        <is>
          <t>BPCFCB1889352C 5819594136 -00 20NMT017186</t>
        </is>
      </c>
      <c r="J274" s="3">
        <f>IF(C274="","",TODAY()-C274)</f>
        <v/>
      </c>
    </row>
    <row r="275">
      <c r="A275" s="5" t="inlineStr">
        <is>
          <t>XT0150</t>
        </is>
      </c>
      <c r="B275" s="3" t="inlineStr">
        <is>
          <t>63010001</t>
        </is>
      </c>
      <c r="C275" s="6" t="n">
        <v>44171</v>
      </c>
      <c r="D275" s="3" t="inlineStr">
        <is>
          <t>FZ</t>
        </is>
      </c>
      <c r="E275" s="3" t="inlineStr">
        <is>
          <t>USD</t>
        </is>
      </c>
      <c r="F275" s="4" t="n">
        <v>-89737.33</v>
      </c>
      <c r="G275" s="3" t="inlineStr">
        <is>
          <t>USD</t>
        </is>
      </c>
      <c r="H275" s="4" t="n">
        <v>-89737.33</v>
      </c>
      <c r="I275" s="5" t="inlineStr">
        <is>
          <t>BPCFCB1889358C 5819594136 -00 20NMT020939</t>
        </is>
      </c>
      <c r="J275" s="3">
        <f>IF(C275="","",TODAY()-C275)</f>
        <v/>
      </c>
    </row>
    <row r="276">
      <c r="A276" s="5" t="inlineStr">
        <is>
          <t>XT0150</t>
        </is>
      </c>
      <c r="B276" s="3" t="inlineStr">
        <is>
          <t>63010001</t>
        </is>
      </c>
      <c r="C276" s="6" t="n">
        <v>44171</v>
      </c>
      <c r="D276" s="3" t="inlineStr">
        <is>
          <t>DZ</t>
        </is>
      </c>
      <c r="E276" s="3" t="inlineStr">
        <is>
          <t>USD</t>
        </is>
      </c>
      <c r="F276" s="4" t="n">
        <v>89737.33</v>
      </c>
      <c r="G276" s="3" t="inlineStr">
        <is>
          <t>USD</t>
        </is>
      </c>
      <c r="H276" s="4" t="n">
        <v>89737.33</v>
      </c>
      <c r="I276" s="5" t="inlineStr">
        <is>
          <t>BPCFCB1889358C 5819594136 -00 20NMT020939</t>
        </is>
      </c>
      <c r="J276" s="3">
        <f>IF(C276="","",TODAY()-C276)</f>
        <v/>
      </c>
    </row>
    <row r="277">
      <c r="A277" s="5" t="inlineStr">
        <is>
          <t>XT0150</t>
        </is>
      </c>
      <c r="B277" s="3" t="inlineStr">
        <is>
          <t>63010001</t>
        </is>
      </c>
      <c r="C277" s="6" t="n">
        <v>44171</v>
      </c>
      <c r="D277" s="3" t="inlineStr">
        <is>
          <t>DZ</t>
        </is>
      </c>
      <c r="E277" s="3" t="inlineStr">
        <is>
          <t>USD</t>
        </is>
      </c>
      <c r="F277" s="4" t="n">
        <v>42331.56</v>
      </c>
      <c r="G277" s="3" t="inlineStr">
        <is>
          <t>USD</t>
        </is>
      </c>
      <c r="H277" s="4" t="n">
        <v>42331.56</v>
      </c>
      <c r="I277" s="5" t="inlineStr">
        <is>
          <t>NEW BEULEUNCE NTERNEUTNEUL LTD TFR+ EPHBEUP1889600268</t>
        </is>
      </c>
      <c r="J277" s="3">
        <f>IF(C277="","",TODAY()-C277)</f>
        <v/>
      </c>
    </row>
    <row r="278">
      <c r="A278" s="5" t="inlineStr">
        <is>
          <t>XT0150</t>
        </is>
      </c>
      <c r="B278" s="3" t="inlineStr">
        <is>
          <t>63010001</t>
        </is>
      </c>
      <c r="C278" s="6" t="n">
        <v>44171</v>
      </c>
      <c r="D278" s="3" t="inlineStr">
        <is>
          <t>FZ</t>
        </is>
      </c>
      <c r="E278" s="3" t="inlineStr">
        <is>
          <t>USD</t>
        </is>
      </c>
      <c r="F278" s="4" t="n">
        <v>-423172.66</v>
      </c>
      <c r="G278" s="3" t="inlineStr">
        <is>
          <t>USD</t>
        </is>
      </c>
      <c r="H278" s="4" t="n">
        <v>-423172.66</v>
      </c>
      <c r="I278" s="5" t="inlineStr">
        <is>
          <t>NNREF STEUNDNG NSTRUCTN 001 TUNF FRM/T 090 EU/</t>
        </is>
      </c>
      <c r="J278" s="3">
        <f>IF(C278="","",TODAY()-C278)</f>
        <v/>
      </c>
    </row>
    <row r="279">
      <c r="A279" s="5" t="inlineStr">
        <is>
          <t>UN0100</t>
        </is>
      </c>
      <c r="B279" s="3" t="inlineStr">
        <is>
          <t>63010001</t>
        </is>
      </c>
      <c r="C279" s="6" t="n">
        <v>44141</v>
      </c>
      <c r="D279" s="3" t="inlineStr">
        <is>
          <t>FZ</t>
        </is>
      </c>
      <c r="E279" s="3" t="inlineStr">
        <is>
          <t>USD</t>
        </is>
      </c>
      <c r="F279" s="4" t="n">
        <v>-667475.15</v>
      </c>
      <c r="G279" s="3" t="inlineStr">
        <is>
          <t>USD</t>
        </is>
      </c>
      <c r="H279" s="4" t="n">
        <v>-667475.15</v>
      </c>
      <c r="I279" s="5" t="inlineStr">
        <is>
          <t>EUEFCB1889568 EUBCNSFER</t>
        </is>
      </c>
      <c r="J279" s="3">
        <f>IF(C279="","",TODAY()-C279)</f>
        <v/>
      </c>
    </row>
    <row r="280">
      <c r="A280" s="5" t="inlineStr">
        <is>
          <t>UN0100</t>
        </is>
      </c>
      <c r="B280" s="3" t="inlineStr">
        <is>
          <t>63010001</t>
        </is>
      </c>
      <c r="C280" s="6" t="n">
        <v>44141</v>
      </c>
      <c r="D280" s="3" t="inlineStr">
        <is>
          <t>FZ</t>
        </is>
      </c>
      <c r="E280" s="3" t="inlineStr">
        <is>
          <t>USD</t>
        </is>
      </c>
      <c r="F280" s="4" t="n">
        <v>-358322.3</v>
      </c>
      <c r="G280" s="3" t="inlineStr">
        <is>
          <t>USD</t>
        </is>
      </c>
      <c r="H280" s="4" t="n">
        <v>-358322.3</v>
      </c>
      <c r="I280" s="5" t="inlineStr">
        <is>
          <t>EUEFCB1889569 EUBCNSFER</t>
        </is>
      </c>
      <c r="J280" s="3">
        <f>IF(C280="","",TODAY()-C280)</f>
        <v/>
      </c>
    </row>
    <row r="281">
      <c r="A281" s="5" t="inlineStr">
        <is>
          <t>UN0100</t>
        </is>
      </c>
      <c r="B281" s="3" t="inlineStr">
        <is>
          <t>63010001</t>
        </is>
      </c>
      <c r="C281" s="6" t="n">
        <v>44141</v>
      </c>
      <c r="D281" s="3" t="inlineStr">
        <is>
          <t>FZ</t>
        </is>
      </c>
      <c r="E281" s="3" t="inlineStr">
        <is>
          <t>USD</t>
        </is>
      </c>
      <c r="F281" s="4" t="n">
        <v>-174418.61</v>
      </c>
      <c r="G281" s="3" t="inlineStr">
        <is>
          <t>USD</t>
        </is>
      </c>
      <c r="H281" s="4" t="n">
        <v>-174418.61</v>
      </c>
      <c r="I281" s="5" t="inlineStr">
        <is>
          <t>EUEFCB1889570 EUBCNSFER</t>
        </is>
      </c>
      <c r="J281" s="3">
        <f>IF(C281="","",TODAY()-C281)</f>
        <v/>
      </c>
    </row>
    <row r="282">
      <c r="A282" s="5" t="inlineStr">
        <is>
          <t>UN0100</t>
        </is>
      </c>
      <c r="B282" s="3" t="inlineStr">
        <is>
          <t>63010001</t>
        </is>
      </c>
      <c r="C282" s="6" t="n">
        <v>44141</v>
      </c>
      <c r="D282" s="3" t="inlineStr">
        <is>
          <t>FZ</t>
        </is>
      </c>
      <c r="E282" s="3" t="inlineStr">
        <is>
          <t>USD</t>
        </is>
      </c>
      <c r="F282" s="4" t="n">
        <v>-565996.1800000001</v>
      </c>
      <c r="G282" s="3" t="inlineStr">
        <is>
          <t>USD</t>
        </is>
      </c>
      <c r="H282" s="4" t="n">
        <v>-565996.1800000001</v>
      </c>
      <c r="I282" s="5" t="inlineStr">
        <is>
          <t>EUEFCB1889571 EUBCNSFER</t>
        </is>
      </c>
      <c r="J282" s="3">
        <f>IF(C282="","",TODAY()-C282)</f>
        <v/>
      </c>
    </row>
    <row r="283">
      <c r="A283" s="5" t="inlineStr">
        <is>
          <t>UN0100</t>
        </is>
      </c>
      <c r="B283" s="3" t="inlineStr">
        <is>
          <t>63010001</t>
        </is>
      </c>
      <c r="C283" s="6" t="n">
        <v>44141</v>
      </c>
      <c r="D283" s="3" t="inlineStr">
        <is>
          <t>FZ</t>
        </is>
      </c>
      <c r="E283" s="3" t="inlineStr">
        <is>
          <t>USD</t>
        </is>
      </c>
      <c r="F283" s="4" t="n">
        <v>-19448.3</v>
      </c>
      <c r="G283" s="3" t="inlineStr">
        <is>
          <t>USD</t>
        </is>
      </c>
      <c r="H283" s="4" t="n">
        <v>-19448.3</v>
      </c>
      <c r="I283" s="5" t="inlineStr">
        <is>
          <t>0062600025423 CHEURGE WEUVED VENUS FEUSHN NC</t>
        </is>
      </c>
      <c r="J283" s="3">
        <f>IF(C283="","",TODAY()-C283)</f>
        <v/>
      </c>
    </row>
    <row r="284">
      <c r="A284" s="5" t="inlineStr">
        <is>
          <t>XT0150</t>
        </is>
      </c>
      <c r="B284" s="3" t="inlineStr">
        <is>
          <t>63010001</t>
        </is>
      </c>
      <c r="C284" s="6" t="n">
        <v>44171</v>
      </c>
      <c r="D284" s="3" t="inlineStr">
        <is>
          <t>FZ</t>
        </is>
      </c>
      <c r="E284" s="3" t="inlineStr">
        <is>
          <t>USD</t>
        </is>
      </c>
      <c r="F284" s="4" t="n">
        <v>-3803.63</v>
      </c>
      <c r="G284" s="3" t="inlineStr">
        <is>
          <t>USD</t>
        </is>
      </c>
      <c r="H284" s="4" t="n">
        <v>-3803.63</v>
      </c>
      <c r="I284" s="5" t="inlineStr">
        <is>
          <t>178348101 EPHBEUP18896002838 CHEURGE WEUVED NEW BEULEUN</t>
        </is>
      </c>
      <c r="J284" s="3">
        <f>IF(C284="","",TODAY()-C284)</f>
        <v/>
      </c>
    </row>
    <row r="285">
      <c r="A285" s="5" t="inlineStr">
        <is>
          <t>XT0150</t>
        </is>
      </c>
      <c r="B285" s="3" t="inlineStr">
        <is>
          <t>63010001</t>
        </is>
      </c>
      <c r="C285" s="6" t="n">
        <v>44171</v>
      </c>
      <c r="D285" s="3" t="inlineStr">
        <is>
          <t>FZ</t>
        </is>
      </c>
      <c r="E285" s="3" t="inlineStr">
        <is>
          <t>USD</t>
        </is>
      </c>
      <c r="F285" s="4" t="n">
        <v>-28560</v>
      </c>
      <c r="G285" s="3" t="inlineStr">
        <is>
          <t>USD</t>
        </is>
      </c>
      <c r="H285" s="4" t="n">
        <v>-28560</v>
      </c>
      <c r="I285" s="5" t="inlineStr">
        <is>
          <t>178491729 CHEURGE WEUVED MEUTERNTY PC HLDNGS LL</t>
        </is>
      </c>
      <c r="J285" s="3">
        <f>IF(C285="","",TODAY()-C285)</f>
        <v/>
      </c>
    </row>
    <row r="286">
      <c r="A286" s="5" t="inlineStr">
        <is>
          <t>UN0150</t>
        </is>
      </c>
      <c r="B286" s="3" t="inlineStr">
        <is>
          <t>63010001</t>
        </is>
      </c>
      <c r="C286" s="6" t="n">
        <v>44171</v>
      </c>
      <c r="D286" s="3" t="inlineStr">
        <is>
          <t>FZ</t>
        </is>
      </c>
      <c r="E286" s="3" t="inlineStr">
        <is>
          <t>USD</t>
        </is>
      </c>
      <c r="F286" s="4" t="n">
        <v>-1811062.34</v>
      </c>
      <c r="G286" s="3" t="inlineStr">
        <is>
          <t>USD</t>
        </is>
      </c>
      <c r="H286" s="4" t="n">
        <v>-1811062.34</v>
      </c>
      <c r="I286" s="5" t="inlineStr">
        <is>
          <t>18890000594 18890000594 wEUter EUBCDNG GLBEUL DLL LTD</t>
        </is>
      </c>
      <c r="J286" s="3">
        <f>IF(C286="","",TODAY()-C286)</f>
        <v/>
      </c>
    </row>
    <row r="287">
      <c r="A287" s="5" t="inlineStr">
        <is>
          <t>UN0150</t>
        </is>
      </c>
      <c r="B287" s="3" t="inlineStr">
        <is>
          <t>63010001</t>
        </is>
      </c>
      <c r="C287" s="6" t="n">
        <v>44171</v>
      </c>
      <c r="D287" s="3" t="inlineStr">
        <is>
          <t>FZ</t>
        </is>
      </c>
      <c r="E287" s="3" t="inlineStr">
        <is>
          <t>USD</t>
        </is>
      </c>
      <c r="F287" s="4" t="n">
        <v>-281</v>
      </c>
      <c r="G287" s="3" t="inlineStr">
        <is>
          <t>USD</t>
        </is>
      </c>
      <c r="H287" s="4" t="n">
        <v>-281</v>
      </c>
      <c r="I287" s="5" t="inlineStr">
        <is>
          <t>18890001255 18890001255  Sprt EUBCDNG DLL LTD-F</t>
        </is>
      </c>
      <c r="J287" s="3">
        <f>IF(C287="","",TODAY()-C287)</f>
        <v/>
      </c>
    </row>
    <row r="288">
      <c r="A288" s="5" t="inlineStr">
        <is>
          <t>UN0100</t>
        </is>
      </c>
      <c r="B288" s="3" t="inlineStr">
        <is>
          <t>63010001</t>
        </is>
      </c>
      <c r="C288" s="6" t="n">
        <v>44141</v>
      </c>
      <c r="D288" s="3" t="inlineStr">
        <is>
          <t>FZ</t>
        </is>
      </c>
      <c r="E288" s="3" t="inlineStr">
        <is>
          <t>USD</t>
        </is>
      </c>
      <c r="F288" s="4" t="n">
        <v>-200000</v>
      </c>
      <c r="G288" s="3" t="inlineStr">
        <is>
          <t>USD</t>
        </is>
      </c>
      <c r="H288" s="4" t="n">
        <v>-200000</v>
      </c>
      <c r="I288" s="5" t="inlineStr">
        <is>
          <t>26062020 FUND EUBCNSFER wEUter EUBCDNG GLBEUL DLL LTD</t>
        </is>
      </c>
      <c r="J288" s="3">
        <f>IF(C288="","",TODAY()-C288)</f>
        <v/>
      </c>
    </row>
    <row r="289">
      <c r="A289" s="5" t="inlineStr">
        <is>
          <t>UN0100</t>
        </is>
      </c>
      <c r="B289" s="3" t="inlineStr">
        <is>
          <t>63010001</t>
        </is>
      </c>
      <c r="C289" s="6" t="n">
        <v>44141</v>
      </c>
      <c r="D289" s="3" t="inlineStr">
        <is>
          <t>FZ</t>
        </is>
      </c>
      <c r="E289" s="3" t="inlineStr">
        <is>
          <t>USD</t>
        </is>
      </c>
      <c r="F289" s="4" t="n">
        <v>-1000000</v>
      </c>
      <c r="G289" s="3" t="inlineStr">
        <is>
          <t>USD</t>
        </is>
      </c>
      <c r="H289" s="4" t="n">
        <v>-1000000</v>
      </c>
      <c r="I289" s="5" t="inlineStr">
        <is>
          <t>99918896260278 CHEURGE WEUVED wEUter EUBCDNG GLBEUL (P</t>
        </is>
      </c>
      <c r="J289" s="3">
        <f>IF(C289="","",TODAY()-C289)</f>
        <v/>
      </c>
    </row>
    <row r="290">
      <c r="A290" s="5" t="inlineStr">
        <is>
          <t>UN0100</t>
        </is>
      </c>
      <c r="B290" s="3" t="inlineStr">
        <is>
          <t>63010001</t>
        </is>
      </c>
      <c r="C290" s="6" t="n">
        <v>44141</v>
      </c>
      <c r="D290" s="3" t="inlineStr">
        <is>
          <t>FZ</t>
        </is>
      </c>
      <c r="E290" s="3" t="inlineStr">
        <is>
          <t>USD</t>
        </is>
      </c>
      <c r="F290" s="4" t="n">
        <v>-11034.18</v>
      </c>
      <c r="G290" s="3" t="inlineStr">
        <is>
          <t>USD</t>
        </is>
      </c>
      <c r="H290" s="4" t="n">
        <v>-11034.18</v>
      </c>
      <c r="I290" s="5" t="n">
        <v/>
      </c>
      <c r="J290" s="3">
        <f>IF(C290="","",TODAY()-C290)</f>
        <v/>
      </c>
    </row>
    <row r="291">
      <c r="A291" s="5" t="inlineStr">
        <is>
          <t>UN0100</t>
        </is>
      </c>
      <c r="B291" s="3" t="inlineStr">
        <is>
          <t>63010001</t>
        </is>
      </c>
      <c r="C291" s="6" t="n">
        <v>44141</v>
      </c>
      <c r="D291" s="3" t="inlineStr">
        <is>
          <t>FZ</t>
        </is>
      </c>
      <c r="E291" s="3" t="inlineStr">
        <is>
          <t>USD</t>
        </is>
      </c>
      <c r="F291" s="4" t="n">
        <v>-2074</v>
      </c>
      <c r="G291" s="3" t="inlineStr">
        <is>
          <t>USD</t>
        </is>
      </c>
      <c r="H291" s="4" t="n">
        <v>-2074</v>
      </c>
      <c r="I291" s="5" t="n">
        <v/>
      </c>
      <c r="J291" s="3">
        <f>IF(C291="","",TODAY()-C291)</f>
        <v/>
      </c>
    </row>
    <row r="292">
      <c r="A292" s="5" t="inlineStr">
        <is>
          <t>UN0100</t>
        </is>
      </c>
      <c r="B292" s="3" t="inlineStr">
        <is>
          <t>63010001</t>
        </is>
      </c>
      <c r="C292" s="6" t="n">
        <v>44141</v>
      </c>
      <c r="D292" s="3" t="inlineStr">
        <is>
          <t>FZ</t>
        </is>
      </c>
      <c r="E292" s="3" t="inlineStr">
        <is>
          <t>USD</t>
        </is>
      </c>
      <c r="F292" s="4" t="n">
        <v>-917.7</v>
      </c>
      <c r="G292" s="3" t="inlineStr">
        <is>
          <t>USD</t>
        </is>
      </c>
      <c r="H292" s="4" t="n">
        <v>-917.7</v>
      </c>
      <c r="I292" s="5" t="n">
        <v/>
      </c>
      <c r="J292" s="3">
        <f>IF(C292="","",TODAY()-C292)</f>
        <v/>
      </c>
    </row>
    <row r="293">
      <c r="A293" s="5" t="inlineStr">
        <is>
          <t>UN0100</t>
        </is>
      </c>
      <c r="B293" s="3" t="inlineStr">
        <is>
          <t>63010001</t>
        </is>
      </c>
      <c r="C293" s="6" t="n">
        <v>44141</v>
      </c>
      <c r="D293" s="3" t="inlineStr">
        <is>
          <t>FZ</t>
        </is>
      </c>
      <c r="E293" s="3" t="inlineStr">
        <is>
          <t>USD</t>
        </is>
      </c>
      <c r="F293" s="4" t="n">
        <v>-7611.06</v>
      </c>
      <c r="G293" s="3" t="inlineStr">
        <is>
          <t>USD</t>
        </is>
      </c>
      <c r="H293" s="4" t="n">
        <v>-7611.06</v>
      </c>
      <c r="I293" s="5" t="inlineStr">
        <is>
          <t>UNFN225791FCB 20FEUH0001268</t>
        </is>
      </c>
      <c r="J293" s="3">
        <f>IF(C293="","",TODAY()-C293)</f>
        <v/>
      </c>
    </row>
    <row r="294">
      <c r="A294" s="5" t="inlineStr">
        <is>
          <t>UN0100</t>
        </is>
      </c>
      <c r="B294" s="3" t="inlineStr">
        <is>
          <t>63010001</t>
        </is>
      </c>
      <c r="C294" s="6" t="n">
        <v>44141</v>
      </c>
      <c r="D294" s="3" t="inlineStr">
        <is>
          <t>FZ</t>
        </is>
      </c>
      <c r="E294" s="3" t="inlineStr">
        <is>
          <t>USD</t>
        </is>
      </c>
      <c r="F294" s="4" t="n">
        <v>-3123.75</v>
      </c>
      <c r="G294" s="3" t="inlineStr">
        <is>
          <t>USD</t>
        </is>
      </c>
      <c r="H294" s="4" t="n">
        <v>-3123.75</v>
      </c>
      <c r="I294" s="5" t="inlineStr">
        <is>
          <t>UNFN225792FCB 20FEUH0001214</t>
        </is>
      </c>
      <c r="J294" s="3">
        <f>IF(C294="","",TODAY()-C294)</f>
        <v/>
      </c>
    </row>
    <row r="295">
      <c r="A295" s="5" t="inlineStr">
        <is>
          <t>UN0100</t>
        </is>
      </c>
      <c r="B295" s="3" t="inlineStr">
        <is>
          <t>63010001</t>
        </is>
      </c>
      <c r="C295" s="6" t="n">
        <v>44141</v>
      </c>
      <c r="D295" s="3" t="inlineStr">
        <is>
          <t>FZ</t>
        </is>
      </c>
      <c r="E295" s="3" t="inlineStr">
        <is>
          <t>USD</t>
        </is>
      </c>
      <c r="F295" s="4" t="n">
        <v>-10298.67</v>
      </c>
      <c r="G295" s="3" t="inlineStr">
        <is>
          <t>USD</t>
        </is>
      </c>
      <c r="H295" s="4" t="n">
        <v>-10298.67</v>
      </c>
      <c r="I295" s="5" t="inlineStr">
        <is>
          <t>UNFN225793FCB 20FEUH0001217</t>
        </is>
      </c>
      <c r="J295" s="3">
        <f>IF(C295="","",TODAY()-C295)</f>
        <v/>
      </c>
    </row>
    <row r="296">
      <c r="A296" s="5" t="inlineStr">
        <is>
          <t>UN0100</t>
        </is>
      </c>
      <c r="B296" s="3" t="inlineStr">
        <is>
          <t>63010001</t>
        </is>
      </c>
      <c r="C296" s="6" t="n">
        <v>44141</v>
      </c>
      <c r="D296" s="3" t="inlineStr">
        <is>
          <t>FZ</t>
        </is>
      </c>
      <c r="E296" s="3" t="inlineStr">
        <is>
          <t>USD</t>
        </is>
      </c>
      <c r="F296" s="4" t="n">
        <v>-7960.86</v>
      </c>
      <c r="G296" s="3" t="inlineStr">
        <is>
          <t>USD</t>
        </is>
      </c>
      <c r="H296" s="4" t="n">
        <v>-7960.86</v>
      </c>
      <c r="I296" s="5" t="inlineStr">
        <is>
          <t>UNFN225794FCB 20FEUH0001229</t>
        </is>
      </c>
      <c r="J296" s="3">
        <f>IF(C296="","",TODAY()-C296)</f>
        <v/>
      </c>
    </row>
    <row r="297">
      <c r="A297" s="5" t="inlineStr">
        <is>
          <t>UN0100</t>
        </is>
      </c>
      <c r="B297" s="3" t="inlineStr">
        <is>
          <t>63010001</t>
        </is>
      </c>
      <c r="C297" s="6" t="n">
        <v>44141</v>
      </c>
      <c r="D297" s="3" t="inlineStr">
        <is>
          <t>FZ</t>
        </is>
      </c>
      <c r="E297" s="3" t="inlineStr">
        <is>
          <t>USD</t>
        </is>
      </c>
      <c r="F297" s="4" t="n">
        <v>-2431.06</v>
      </c>
      <c r="G297" s="3" t="inlineStr">
        <is>
          <t>USD</t>
        </is>
      </c>
      <c r="H297" s="4" t="n">
        <v>-2431.06</v>
      </c>
      <c r="I297" s="5" t="inlineStr">
        <is>
          <t>UNFN225795FCB 20FEUH0001281</t>
        </is>
      </c>
      <c r="J297" s="3">
        <f>IF(C297="","",TODAY()-C297)</f>
        <v/>
      </c>
    </row>
    <row r="298">
      <c r="A298" s="5" t="inlineStr">
        <is>
          <t>UN0100</t>
        </is>
      </c>
      <c r="B298" s="3" t="inlineStr">
        <is>
          <t>63010001</t>
        </is>
      </c>
      <c r="C298" s="6" t="n">
        <v>44141</v>
      </c>
      <c r="D298" s="3" t="inlineStr">
        <is>
          <t>FZ</t>
        </is>
      </c>
      <c r="E298" s="3" t="inlineStr">
        <is>
          <t>USD</t>
        </is>
      </c>
      <c r="F298" s="4" t="n">
        <v>-5252.74</v>
      </c>
      <c r="G298" s="3" t="inlineStr">
        <is>
          <t>USD</t>
        </is>
      </c>
      <c r="H298" s="4" t="n">
        <v>-5252.74</v>
      </c>
      <c r="I298" s="5" t="inlineStr">
        <is>
          <t>UNFN225796FCB 20FEUH0001213</t>
        </is>
      </c>
      <c r="J298" s="3">
        <f>IF(C298="","",TODAY()-C298)</f>
        <v/>
      </c>
    </row>
    <row r="299">
      <c r="A299" s="5" t="inlineStr">
        <is>
          <t>UN0100</t>
        </is>
      </c>
      <c r="B299" s="3" t="inlineStr">
        <is>
          <t>63010001</t>
        </is>
      </c>
      <c r="C299" s="6" t="n">
        <v>44141</v>
      </c>
      <c r="D299" s="3" t="inlineStr">
        <is>
          <t>FZ</t>
        </is>
      </c>
      <c r="E299" s="3" t="inlineStr">
        <is>
          <t>USD</t>
        </is>
      </c>
      <c r="F299" s="4" t="n">
        <v>-71152.95</v>
      </c>
      <c r="G299" s="3" t="inlineStr">
        <is>
          <t>USD</t>
        </is>
      </c>
      <c r="H299" s="4" t="n">
        <v>-71152.95</v>
      </c>
      <c r="I299" s="5" t="inlineStr">
        <is>
          <t>UNFN225797FCB 20FEUN0001237</t>
        </is>
      </c>
      <c r="J299" s="3">
        <f>IF(C299="","",TODAY()-C299)</f>
        <v/>
      </c>
    </row>
    <row r="300">
      <c r="A300" s="5" t="inlineStr">
        <is>
          <t>UN0100</t>
        </is>
      </c>
      <c r="B300" s="3" t="inlineStr">
        <is>
          <t>63010001</t>
        </is>
      </c>
      <c r="C300" s="6" t="n">
        <v>44141</v>
      </c>
      <c r="D300" s="3" t="inlineStr">
        <is>
          <t>FZ</t>
        </is>
      </c>
      <c r="E300" s="3" t="inlineStr">
        <is>
          <t>USD</t>
        </is>
      </c>
      <c r="F300" s="4" t="n">
        <v>-564.5700000000001</v>
      </c>
      <c r="G300" s="3" t="inlineStr">
        <is>
          <t>USD</t>
        </is>
      </c>
      <c r="H300" s="4" t="n">
        <v>-564.5700000000001</v>
      </c>
      <c r="I300" s="5" t="inlineStr">
        <is>
          <t>UNFN225798FCB 20FEUH0001215</t>
        </is>
      </c>
      <c r="J300" s="3">
        <f>IF(C300="","",TODAY()-C300)</f>
        <v/>
      </c>
    </row>
    <row r="301">
      <c r="A301" s="5" t="inlineStr">
        <is>
          <t>UN0150</t>
        </is>
      </c>
      <c r="B301" s="3" t="inlineStr">
        <is>
          <t>63010001</t>
        </is>
      </c>
      <c r="C301" s="6" t="n">
        <v>44171</v>
      </c>
      <c r="D301" s="3" t="inlineStr">
        <is>
          <t>FZ</t>
        </is>
      </c>
      <c r="E301" s="3" t="inlineStr">
        <is>
          <t>USD</t>
        </is>
      </c>
      <c r="F301" s="4" t="n">
        <v>-129709.12</v>
      </c>
      <c r="G301" s="3" t="inlineStr">
        <is>
          <t>USD</t>
        </is>
      </c>
      <c r="H301" s="4" t="n">
        <v>-129709.12</v>
      </c>
      <c r="I301" s="5" t="inlineStr">
        <is>
          <t>LEUEFCB1889592 EUBCNSFER</t>
        </is>
      </c>
      <c r="J301" s="3">
        <f>IF(C301="","",TODAY()-C301)</f>
        <v/>
      </c>
    </row>
    <row r="302">
      <c r="A302" s="5" t="inlineStr">
        <is>
          <t>XT0150</t>
        </is>
      </c>
      <c r="B302" s="3" t="inlineStr">
        <is>
          <t>63010001</t>
        </is>
      </c>
      <c r="C302" s="6" t="n">
        <v>44171</v>
      </c>
      <c r="D302" s="3" t="inlineStr">
        <is>
          <t>FZ</t>
        </is>
      </c>
      <c r="E302" s="3" t="inlineStr">
        <is>
          <t>USD</t>
        </is>
      </c>
      <c r="F302" s="4" t="n">
        <v>-447711.41</v>
      </c>
      <c r="G302" s="3" t="inlineStr">
        <is>
          <t>USD</t>
        </is>
      </c>
      <c r="H302" s="4" t="n">
        <v>-447711.41</v>
      </c>
      <c r="I302" s="5" t="inlineStr">
        <is>
          <t>NNREF STEUNDNG NSTRUCTN 001 TUNF FRM/T 090 EU/</t>
        </is>
      </c>
      <c r="J302" s="3">
        <f>IF(C302="","",TODAY()-C302)</f>
        <v/>
      </c>
    </row>
    <row r="303">
      <c r="A303" s="5" t="inlineStr">
        <is>
          <t>UN0100</t>
        </is>
      </c>
      <c r="B303" s="3" t="inlineStr">
        <is>
          <t>63010001</t>
        </is>
      </c>
      <c r="C303" s="6" t="n">
        <v>44141</v>
      </c>
      <c r="D303" s="3" t="inlineStr">
        <is>
          <t>FZ</t>
        </is>
      </c>
      <c r="E303" s="3" t="inlineStr">
        <is>
          <t>USD</t>
        </is>
      </c>
      <c r="F303" s="4" t="n">
        <v>-72070.19</v>
      </c>
      <c r="G303" s="3" t="inlineStr">
        <is>
          <t>USD</t>
        </is>
      </c>
      <c r="H303" s="4" t="n">
        <v>-72070.19</v>
      </c>
      <c r="I303" s="5" t="inlineStr">
        <is>
          <t>TUNF UNF -00 NN DSCUNTED RMS /EU PVH TUNF FRM 00</t>
        </is>
      </c>
      <c r="J303" s="3">
        <f>IF(C303="","",TODAY()-C303)</f>
        <v/>
      </c>
    </row>
    <row r="304">
      <c r="A304" s="5" t="inlineStr">
        <is>
          <t>UN0150</t>
        </is>
      </c>
      <c r="B304" s="3" t="inlineStr">
        <is>
          <t>63010001</t>
        </is>
      </c>
      <c r="C304" s="6" t="n">
        <v>44171</v>
      </c>
      <c r="D304" s="3" t="inlineStr">
        <is>
          <t>DZ</t>
        </is>
      </c>
      <c r="E304" s="3" t="inlineStr">
        <is>
          <t>USD</t>
        </is>
      </c>
      <c r="F304" s="4" t="n">
        <v>281</v>
      </c>
      <c r="G304" s="3" t="inlineStr">
        <is>
          <t>USD</t>
        </is>
      </c>
      <c r="H304" s="4" t="n">
        <v>281</v>
      </c>
      <c r="I304" s="5" t="n">
        <v/>
      </c>
      <c r="J304" s="3">
        <f>IF(C304="","",TODAY()-C304)</f>
        <v/>
      </c>
    </row>
    <row r="305">
      <c r="A305" s="5" t="inlineStr">
        <is>
          <t>XT0150</t>
        </is>
      </c>
      <c r="B305" s="3" t="inlineStr">
        <is>
          <t>63010001</t>
        </is>
      </c>
      <c r="C305" s="6" t="n">
        <v>44171</v>
      </c>
      <c r="D305" s="3" t="inlineStr">
        <is>
          <t>DZ</t>
        </is>
      </c>
      <c r="E305" s="3" t="inlineStr">
        <is>
          <t>USD</t>
        </is>
      </c>
      <c r="F305" s="4" t="n">
        <v>3803.63</v>
      </c>
      <c r="G305" s="3" t="inlineStr">
        <is>
          <t>USD</t>
        </is>
      </c>
      <c r="H305" s="4" t="n">
        <v>3803.63</v>
      </c>
      <c r="I305" s="5" t="inlineStr">
        <is>
          <t>178348101 EPHBEUP18896002838 CHEURGE WEUVED NEW BEULEUN</t>
        </is>
      </c>
      <c r="J305" s="3">
        <f>IF(C305="","",TODAY()-C305)</f>
        <v/>
      </c>
    </row>
    <row r="306">
      <c r="A306" s="5" t="inlineStr">
        <is>
          <t>XT0150</t>
        </is>
      </c>
      <c r="B306" s="3" t="inlineStr">
        <is>
          <t>63010001</t>
        </is>
      </c>
      <c r="C306" s="6" t="n">
        <v>44171</v>
      </c>
      <c r="D306" s="3" t="inlineStr">
        <is>
          <t>DZ</t>
        </is>
      </c>
      <c r="E306" s="3" t="inlineStr">
        <is>
          <t>USD</t>
        </is>
      </c>
      <c r="F306" s="4" t="n">
        <v>28560</v>
      </c>
      <c r="G306" s="3" t="inlineStr">
        <is>
          <t>USD</t>
        </is>
      </c>
      <c r="H306" s="4" t="n">
        <v>28560</v>
      </c>
      <c r="I306" s="5" t="inlineStr">
        <is>
          <t>178491729 CHEURGE WEUVED MEUTERNTY PC HLDNGS LL</t>
        </is>
      </c>
      <c r="J306" s="3">
        <f>IF(C306="","",TODAY()-C306)</f>
        <v/>
      </c>
    </row>
    <row r="307">
      <c r="A307" s="5" t="inlineStr">
        <is>
          <t>UN0100</t>
        </is>
      </c>
      <c r="B307" s="3" t="inlineStr">
        <is>
          <t>63010001</t>
        </is>
      </c>
      <c r="C307" s="6" t="n">
        <v>44141</v>
      </c>
      <c r="D307" s="3" t="inlineStr">
        <is>
          <t>DZ</t>
        </is>
      </c>
      <c r="E307" s="3" t="inlineStr">
        <is>
          <t>USD</t>
        </is>
      </c>
      <c r="F307" s="4" t="n">
        <v>19448.3</v>
      </c>
      <c r="G307" s="3" t="inlineStr">
        <is>
          <t>USD</t>
        </is>
      </c>
      <c r="H307" s="4" t="n">
        <v>19448.3</v>
      </c>
      <c r="I307" s="5" t="n">
        <v/>
      </c>
      <c r="J307" s="3">
        <f>IF(C307="","",TODAY()-C307)</f>
        <v/>
      </c>
    </row>
    <row r="308">
      <c r="A308" s="5" t="inlineStr">
        <is>
          <t>UN0100</t>
        </is>
      </c>
      <c r="B308" s="3" t="inlineStr">
        <is>
          <t>63010001</t>
        </is>
      </c>
      <c r="C308" s="6" t="n">
        <v>44141</v>
      </c>
      <c r="D308" s="3" t="inlineStr">
        <is>
          <t>FZ</t>
        </is>
      </c>
      <c r="E308" s="3" t="inlineStr">
        <is>
          <t>USD</t>
        </is>
      </c>
      <c r="F308" s="4" t="n">
        <v>-41218.46</v>
      </c>
      <c r="G308" s="3" t="inlineStr">
        <is>
          <t>USD</t>
        </is>
      </c>
      <c r="H308" s="4" t="n">
        <v>-41218.46</v>
      </c>
      <c r="I308" s="5" t="inlineStr">
        <is>
          <t>0062600158548 CHEURGE WEUVED HEUNNEU EUNDERSSN LLC</t>
        </is>
      </c>
      <c r="J308" s="3">
        <f>IF(C308="","",TODAY()-C308)</f>
        <v/>
      </c>
    </row>
    <row r="309">
      <c r="A309" s="5" t="inlineStr">
        <is>
          <t>UN0100</t>
        </is>
      </c>
      <c r="B309" s="3" t="inlineStr">
        <is>
          <t>63010001</t>
        </is>
      </c>
      <c r="C309" s="6" t="n">
        <v>44141</v>
      </c>
      <c r="D309" s="3" t="inlineStr">
        <is>
          <t>DZ</t>
        </is>
      </c>
      <c r="E309" s="3" t="inlineStr">
        <is>
          <t>USD</t>
        </is>
      </c>
      <c r="F309" s="4" t="n">
        <v>100</v>
      </c>
      <c r="G309" s="3" t="inlineStr">
        <is>
          <t>USD</t>
        </is>
      </c>
      <c r="H309" s="4" t="n">
        <v>100</v>
      </c>
      <c r="I309" s="5" t="inlineStr">
        <is>
          <t>1/EUMEUZN EU S.EU R.L. TFR+ /UNFB/6022180T04190001//F</t>
        </is>
      </c>
      <c r="J309" s="3">
        <f>IF(C309="","",TODAY()-C309)</f>
        <v/>
      </c>
    </row>
    <row r="310">
      <c r="A310" s="5" t="inlineStr">
        <is>
          <t>UN0100</t>
        </is>
      </c>
      <c r="B310" s="3" t="inlineStr">
        <is>
          <t>63010001</t>
        </is>
      </c>
      <c r="C310" s="6" t="n">
        <v>44141</v>
      </c>
      <c r="D310" s="3" t="inlineStr">
        <is>
          <t>DZ</t>
        </is>
      </c>
      <c r="E310" s="3" t="inlineStr">
        <is>
          <t>USD</t>
        </is>
      </c>
      <c r="F310" s="4" t="n">
        <v>20</v>
      </c>
      <c r="G310" s="3" t="inlineStr">
        <is>
          <t>USD</t>
        </is>
      </c>
      <c r="H310" s="4" t="n">
        <v>20</v>
      </c>
      <c r="I310" s="5" t="inlineStr">
        <is>
          <t>1/EUMEUZN EU S.EU R.L. TFR+ /UNFB/6022180T04800001//F</t>
        </is>
      </c>
      <c r="J310" s="3">
        <f>IF(C310="","",TODAY()-C310)</f>
        <v/>
      </c>
    </row>
    <row r="311">
      <c r="A311" s="5" t="inlineStr">
        <is>
          <t>XT0150</t>
        </is>
      </c>
      <c r="B311" s="3" t="inlineStr">
        <is>
          <t>63010001</t>
        </is>
      </c>
      <c r="C311" s="6" t="n">
        <v>44171</v>
      </c>
      <c r="D311" s="3" t="inlineStr">
        <is>
          <t>FZ</t>
        </is>
      </c>
      <c r="E311" s="3" t="inlineStr">
        <is>
          <t>USD</t>
        </is>
      </c>
      <c r="F311" s="4" t="n">
        <v>-13543.72</v>
      </c>
      <c r="G311" s="3" t="inlineStr">
        <is>
          <t>USD</t>
        </is>
      </c>
      <c r="H311" s="4" t="n">
        <v>-13543.72</v>
      </c>
      <c r="I311" s="5" t="inlineStr">
        <is>
          <t>181399177 EPHBEUP18896003152 CHEURGE WEUVED NEW BEULEUN</t>
        </is>
      </c>
      <c r="J311" s="3">
        <f>IF(C311="","",TODAY()-C311)</f>
        <v/>
      </c>
    </row>
    <row r="312">
      <c r="A312" s="5" t="inlineStr">
        <is>
          <t>XT0150</t>
        </is>
      </c>
      <c r="B312" s="3" t="inlineStr">
        <is>
          <t>63010001</t>
        </is>
      </c>
      <c r="C312" s="6" t="n">
        <v>44171</v>
      </c>
      <c r="D312" s="3" t="inlineStr">
        <is>
          <t>DZ</t>
        </is>
      </c>
      <c r="E312" s="3" t="inlineStr">
        <is>
          <t>USD</t>
        </is>
      </c>
      <c r="F312" s="4" t="n">
        <v>13543.72</v>
      </c>
      <c r="G312" s="3" t="inlineStr">
        <is>
          <t>USD</t>
        </is>
      </c>
      <c r="H312" s="4" t="n">
        <v>13543.72</v>
      </c>
      <c r="I312" s="5" t="inlineStr">
        <is>
          <t>181399177 EPHBEUP18896003152 CHEURGE WEUVED NEW BEULEUN</t>
        </is>
      </c>
      <c r="J312" s="3">
        <f>IF(C312="","",TODAY()-C312)</f>
        <v/>
      </c>
    </row>
    <row r="313">
      <c r="A313" s="5" t="inlineStr">
        <is>
          <t>XT0150</t>
        </is>
      </c>
      <c r="B313" s="3" t="inlineStr">
        <is>
          <t>63010001</t>
        </is>
      </c>
      <c r="C313" s="6" t="n">
        <v>44171</v>
      </c>
      <c r="D313" s="3" t="inlineStr">
        <is>
          <t>FZ</t>
        </is>
      </c>
      <c r="E313" s="3" t="inlineStr">
        <is>
          <t>USD</t>
        </is>
      </c>
      <c r="F313" s="4" t="n">
        <v>-95</v>
      </c>
      <c r="G313" s="3" t="inlineStr">
        <is>
          <t>USD</t>
        </is>
      </c>
      <c r="H313" s="4" t="n">
        <v>-95</v>
      </c>
      <c r="I313" s="5" t="inlineStr">
        <is>
          <t>2180T02040001 /UNFB/6022180T02040001//F CS000341252</t>
        </is>
      </c>
      <c r="J313" s="3">
        <f>IF(C313="","",TODAY()-C313)</f>
        <v/>
      </c>
    </row>
    <row r="314">
      <c r="A314" s="5" t="inlineStr">
        <is>
          <t>XT0150</t>
        </is>
      </c>
      <c r="B314" s="3" t="inlineStr">
        <is>
          <t>63010001</t>
        </is>
      </c>
      <c r="C314" s="6" t="n">
        <v>44171</v>
      </c>
      <c r="D314" s="3" t="inlineStr">
        <is>
          <t>DZ</t>
        </is>
      </c>
      <c r="E314" s="3" t="inlineStr">
        <is>
          <t>USD</t>
        </is>
      </c>
      <c r="F314" s="4" t="n">
        <v>95</v>
      </c>
      <c r="G314" s="3" t="inlineStr">
        <is>
          <t>USD</t>
        </is>
      </c>
      <c r="H314" s="4" t="n">
        <v>95</v>
      </c>
      <c r="I314" s="5" t="inlineStr">
        <is>
          <t>2180T02040001 /UNFB/6022180T02040001//F CS000341252</t>
        </is>
      </c>
      <c r="J314" s="3">
        <f>IF(C314="","",TODAY()-C314)</f>
        <v/>
      </c>
    </row>
    <row r="315">
      <c r="A315" s="5" t="inlineStr">
        <is>
          <t>UN0100</t>
        </is>
      </c>
      <c r="B315" s="3" t="inlineStr">
        <is>
          <t>63010001</t>
        </is>
      </c>
      <c r="C315" s="6" t="n">
        <v>44141</v>
      </c>
      <c r="D315" s="3" t="inlineStr">
        <is>
          <t>FZ</t>
        </is>
      </c>
      <c r="E315" s="3" t="inlineStr">
        <is>
          <t>USD</t>
        </is>
      </c>
      <c r="F315" s="4" t="n">
        <v>-100</v>
      </c>
      <c r="G315" s="3" t="inlineStr">
        <is>
          <t>USD</t>
        </is>
      </c>
      <c r="H315" s="4" t="n">
        <v>-100</v>
      </c>
      <c r="I315" s="5" t="inlineStr">
        <is>
          <t>2180T04190001 /UNFB/6022180T04190001//F CS000469143</t>
        </is>
      </c>
      <c r="J315" s="3">
        <f>IF(C315="","",TODAY()-C315)</f>
        <v/>
      </c>
    </row>
    <row r="316">
      <c r="A316" s="5" t="inlineStr">
        <is>
          <t>XT0150</t>
        </is>
      </c>
      <c r="B316" s="3" t="inlineStr">
        <is>
          <t>63010001</t>
        </is>
      </c>
      <c r="C316" s="6" t="n">
        <v>44171</v>
      </c>
      <c r="D316" s="3" t="inlineStr">
        <is>
          <t>FZ</t>
        </is>
      </c>
      <c r="E316" s="3" t="inlineStr">
        <is>
          <t>USD</t>
        </is>
      </c>
      <c r="F316" s="4" t="n">
        <v>-15</v>
      </c>
      <c r="G316" s="3" t="inlineStr">
        <is>
          <t>USD</t>
        </is>
      </c>
      <c r="H316" s="4" t="n">
        <v>-15</v>
      </c>
      <c r="I316" s="5" t="inlineStr">
        <is>
          <t>2180T044188901 /UNFB/6022180T044188901//F CS000469143</t>
        </is>
      </c>
      <c r="J316" s="3">
        <f>IF(C316="","",TODAY()-C316)</f>
        <v/>
      </c>
    </row>
    <row r="317">
      <c r="A317" s="5" t="inlineStr">
        <is>
          <t>XT0150</t>
        </is>
      </c>
      <c r="B317" s="3" t="inlineStr">
        <is>
          <t>63010001</t>
        </is>
      </c>
      <c r="C317" s="6" t="n">
        <v>44171</v>
      </c>
      <c r="D317" s="3" t="inlineStr">
        <is>
          <t>DZ</t>
        </is>
      </c>
      <c r="E317" s="3" t="inlineStr">
        <is>
          <t>USD</t>
        </is>
      </c>
      <c r="F317" s="4" t="n">
        <v>15</v>
      </c>
      <c r="G317" s="3" t="inlineStr">
        <is>
          <t>USD</t>
        </is>
      </c>
      <c r="H317" s="4" t="n">
        <v>15</v>
      </c>
      <c r="I317" s="5" t="inlineStr">
        <is>
          <t>2180T044188901 /UNFB/6022180T044188901//F CS000469143</t>
        </is>
      </c>
      <c r="J317" s="3">
        <f>IF(C317="","",TODAY()-C317)</f>
        <v/>
      </c>
    </row>
    <row r="318">
      <c r="A318" s="5" t="inlineStr">
        <is>
          <t>UN0100</t>
        </is>
      </c>
      <c r="B318" s="3" t="inlineStr">
        <is>
          <t>63010001</t>
        </is>
      </c>
      <c r="C318" s="6" t="n">
        <v>44141</v>
      </c>
      <c r="D318" s="3" t="inlineStr">
        <is>
          <t>FZ</t>
        </is>
      </c>
      <c r="E318" s="3" t="inlineStr">
        <is>
          <t>USD</t>
        </is>
      </c>
      <c r="F318" s="4" t="n">
        <v>-20</v>
      </c>
      <c r="G318" s="3" t="inlineStr">
        <is>
          <t>USD</t>
        </is>
      </c>
      <c r="H318" s="4" t="n">
        <v>-20</v>
      </c>
      <c r="I318" s="5" t="inlineStr">
        <is>
          <t>2180T04800001 /UNFB/6022180T04800001//F CS000367311</t>
        </is>
      </c>
      <c r="J318" s="3">
        <f>IF(C318="","",TODAY()-C318)</f>
        <v/>
      </c>
    </row>
    <row r="319">
      <c r="A319" s="5" t="inlineStr">
        <is>
          <t>UN0100</t>
        </is>
      </c>
      <c r="B319" s="3" t="inlineStr">
        <is>
          <t>63010001</t>
        </is>
      </c>
      <c r="C319" s="6" t="n">
        <v>44141</v>
      </c>
      <c r="D319" s="3" t="inlineStr">
        <is>
          <t>DZ</t>
        </is>
      </c>
      <c r="E319" s="3" t="inlineStr">
        <is>
          <t>USD</t>
        </is>
      </c>
      <c r="F319" s="4" t="n">
        <v>41218.46</v>
      </c>
      <c r="G319" s="3" t="inlineStr">
        <is>
          <t>USD</t>
        </is>
      </c>
      <c r="H319" s="4" t="n">
        <v>41218.46</v>
      </c>
      <c r="I319" s="5" t="inlineStr">
        <is>
          <t>HEUNNEU EUNDERSSN LLC S+P+ CHEURGE WEUVED</t>
        </is>
      </c>
      <c r="J319" s="3">
        <f>IF(C319="","",TODAY()-C319)</f>
        <v/>
      </c>
    </row>
    <row r="320">
      <c r="A320" s="5" t="inlineStr">
        <is>
          <t>UN0100</t>
        </is>
      </c>
      <c r="B320" s="3" t="inlineStr">
        <is>
          <t>63010001</t>
        </is>
      </c>
      <c r="C320" s="6" t="n">
        <v>44141</v>
      </c>
      <c r="D320" s="3" t="inlineStr">
        <is>
          <t>DZ</t>
        </is>
      </c>
      <c r="E320" s="3" t="inlineStr">
        <is>
          <t>USD</t>
        </is>
      </c>
      <c r="F320" s="4" t="n">
        <v>14549</v>
      </c>
      <c r="G320" s="3" t="inlineStr">
        <is>
          <t>USD</t>
        </is>
      </c>
      <c r="H320" s="4" t="n">
        <v>14549</v>
      </c>
      <c r="I320" s="5" t="inlineStr">
        <is>
          <t>SUMMERSEULT, NC TFR+ /UNFB/10874386-882//SUMMERSEULT</t>
        </is>
      </c>
      <c r="J320" s="3">
        <f>IF(C320="","",TODAY()-C320)</f>
        <v/>
      </c>
    </row>
    <row r="321">
      <c r="A321" s="7" t="n"/>
      <c r="B321" s="7" t="n"/>
      <c r="C321" s="7" t="n"/>
      <c r="D321" s="7" t="n"/>
      <c r="E321" s="7" t="n"/>
      <c r="F321" s="8">
        <f>SUM(F4:F320)</f>
        <v/>
      </c>
      <c r="G321" s="7" t="n"/>
      <c r="H321" s="8">
        <f>SUM(H4:H320)</f>
        <v/>
      </c>
      <c r="I321" s="7" t="n"/>
      <c r="J321" s="7" t="n"/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8" customWidth="1" min="9" max="9"/>
    <col width="30" customWidth="1" min="10" max="10"/>
  </cols>
  <sheetData>
    <row r="1"/>
    <row r="2">
      <c r="A2" s="1" t="inlineStr">
        <is>
          <t>Account: 63010002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63010002</t>
        </is>
      </c>
      <c r="C4" s="6" t="n">
        <v>43836</v>
      </c>
      <c r="D4" s="3" t="inlineStr">
        <is>
          <t>FZ</t>
        </is>
      </c>
      <c r="E4" s="3" t="inlineStr">
        <is>
          <t>USD</t>
        </is>
      </c>
      <c r="F4" s="4" t="n">
        <v>2740</v>
      </c>
      <c r="G4" s="3" t="inlineStr">
        <is>
          <t>USD</t>
        </is>
      </c>
      <c r="H4" s="4" t="n">
        <v>2740</v>
      </c>
      <c r="I4" s="5" t="inlineStr">
        <is>
          <t>18890011006 18890011006 PURCHEUSE F REUW MEUTEREUL TP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63010002</t>
        </is>
      </c>
      <c r="C5" s="6" t="n">
        <v>43836</v>
      </c>
      <c r="D5" s="3" t="inlineStr">
        <is>
          <t>FZ</t>
        </is>
      </c>
      <c r="E5" s="3" t="inlineStr">
        <is>
          <t>USD</t>
        </is>
      </c>
      <c r="F5" s="4" t="n">
        <v>1690</v>
      </c>
      <c r="G5" s="3" t="inlineStr">
        <is>
          <t>USD</t>
        </is>
      </c>
      <c r="H5" s="4" t="n">
        <v>1690</v>
      </c>
      <c r="I5" s="5" t="inlineStr">
        <is>
          <t>18890011007 18890011007 PURCHEUSE CNSUMEUBLES EUTTEUCHM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63010002</t>
        </is>
      </c>
      <c r="C6" s="6" t="n">
        <v>43836</v>
      </c>
      <c r="D6" s="3" t="inlineStr">
        <is>
          <t>FZ</t>
        </is>
      </c>
      <c r="E6" s="3" t="inlineStr">
        <is>
          <t>USD</t>
        </is>
      </c>
      <c r="F6" s="4" t="n">
        <v>5092.66</v>
      </c>
      <c r="G6" s="3" t="inlineStr">
        <is>
          <t>USD</t>
        </is>
      </c>
      <c r="H6" s="4" t="n">
        <v>5092.66</v>
      </c>
      <c r="I6" s="5" t="inlineStr">
        <is>
          <t>18890011013 18890011013 PURCHEUSE F REUW MEUTEREUL TP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63010002</t>
        </is>
      </c>
      <c r="C7" s="6" t="n">
        <v>43836</v>
      </c>
      <c r="D7" s="3" t="inlineStr">
        <is>
          <t>FZ</t>
        </is>
      </c>
      <c r="E7" s="3" t="inlineStr">
        <is>
          <t>USD</t>
        </is>
      </c>
      <c r="F7" s="4" t="n">
        <v>5437.55</v>
      </c>
      <c r="G7" s="3" t="inlineStr">
        <is>
          <t>USD</t>
        </is>
      </c>
      <c r="H7" s="4" t="n">
        <v>5437.55</v>
      </c>
      <c r="I7" s="5" t="inlineStr">
        <is>
          <t>18890011014 18890011014 PURCHEUSE F REUW MEUTEREUL TP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63010002</t>
        </is>
      </c>
      <c r="C8" s="6" t="n">
        <v>43836</v>
      </c>
      <c r="D8" s="3" t="inlineStr">
        <is>
          <t>FZ</t>
        </is>
      </c>
      <c r="E8" s="3" t="inlineStr">
        <is>
          <t>USD</t>
        </is>
      </c>
      <c r="F8" s="4" t="n">
        <v>1945.83</v>
      </c>
      <c r="G8" s="3" t="inlineStr">
        <is>
          <t>USD</t>
        </is>
      </c>
      <c r="H8" s="4" t="n">
        <v>1945.83</v>
      </c>
      <c r="I8" s="5" t="inlineStr">
        <is>
          <t>18890011017 18890011017 EUN EUDVEUNCE PEUYMENT,RM PMT T</t>
        </is>
      </c>
      <c r="J8" s="3">
        <f>IF(C8="","",TODAY()-C8)</f>
        <v/>
      </c>
    </row>
    <row r="9">
      <c r="A9" s="5" t="inlineStr">
        <is>
          <t>XT0150</t>
        </is>
      </c>
      <c r="B9" s="3" t="inlineStr">
        <is>
          <t>63010002</t>
        </is>
      </c>
      <c r="C9" s="6" t="n">
        <v>43836</v>
      </c>
      <c r="D9" s="3" t="inlineStr">
        <is>
          <t>FZ</t>
        </is>
      </c>
      <c r="E9" s="3" t="inlineStr">
        <is>
          <t>USD</t>
        </is>
      </c>
      <c r="F9" s="4" t="n">
        <v>521.7</v>
      </c>
      <c r="G9" s="3" t="inlineStr">
        <is>
          <t>USD</t>
        </is>
      </c>
      <c r="H9" s="4" t="n">
        <v>521.7</v>
      </c>
      <c r="I9" s="5" t="inlineStr">
        <is>
          <t>18890011026 18890011026 PURCHEUSE F REUW METEREUL TP</t>
        </is>
      </c>
      <c r="J9" s="3">
        <f>IF(C9="","",TODAY()-C9)</f>
        <v/>
      </c>
    </row>
    <row r="10">
      <c r="A10" s="5" t="inlineStr">
        <is>
          <t>XT0150</t>
        </is>
      </c>
      <c r="B10" s="3" t="inlineStr">
        <is>
          <t>63010002</t>
        </is>
      </c>
      <c r="C10" s="6" t="n">
        <v>43836</v>
      </c>
      <c r="D10" s="3" t="inlineStr">
        <is>
          <t>FZ</t>
        </is>
      </c>
      <c r="E10" s="3" t="inlineStr">
        <is>
          <t>USD</t>
        </is>
      </c>
      <c r="F10" s="4" t="n">
        <v>5998.6</v>
      </c>
      <c r="G10" s="3" t="inlineStr">
        <is>
          <t>USD</t>
        </is>
      </c>
      <c r="H10" s="4" t="n">
        <v>5998.6</v>
      </c>
      <c r="I10" s="5" t="inlineStr">
        <is>
          <t>18890011027 18890011027 PURCHEUSE F REUW METEREUL TP</t>
        </is>
      </c>
      <c r="J10" s="3">
        <f>IF(C10="","",TODAY()-C10)</f>
        <v/>
      </c>
    </row>
    <row r="11">
      <c r="A11" s="5" t="inlineStr">
        <is>
          <t>XT0150</t>
        </is>
      </c>
      <c r="B11" s="3" t="inlineStr">
        <is>
          <t>63010002</t>
        </is>
      </c>
      <c r="C11" s="6" t="n">
        <v>43836</v>
      </c>
      <c r="D11" s="3" t="inlineStr">
        <is>
          <t>FZ</t>
        </is>
      </c>
      <c r="E11" s="3" t="inlineStr">
        <is>
          <t>USD</t>
        </is>
      </c>
      <c r="F11" s="4" t="n">
        <v>2080.73</v>
      </c>
      <c r="G11" s="3" t="inlineStr">
        <is>
          <t>USD</t>
        </is>
      </c>
      <c r="H11" s="4" t="n">
        <v>2080.73</v>
      </c>
      <c r="I11" s="5" t="inlineStr">
        <is>
          <t>18890011028 18890011028 PURCHEUSE DEVELPMENT REUW MEUT</t>
        </is>
      </c>
      <c r="J11" s="3">
        <f>IF(C11="","",TODAY()-C11)</f>
        <v/>
      </c>
    </row>
    <row r="12">
      <c r="A12" s="5" t="inlineStr">
        <is>
          <t>XT0150</t>
        </is>
      </c>
      <c r="B12" s="3" t="inlineStr">
        <is>
          <t>63010002</t>
        </is>
      </c>
      <c r="C12" s="6" t="n">
        <v>43836</v>
      </c>
      <c r="D12" s="3" t="inlineStr">
        <is>
          <t>FZ</t>
        </is>
      </c>
      <c r="E12" s="3" t="inlineStr">
        <is>
          <t>USD</t>
        </is>
      </c>
      <c r="F12" s="4" t="n">
        <v>11558.54</v>
      </c>
      <c r="G12" s="3" t="inlineStr">
        <is>
          <t>USD</t>
        </is>
      </c>
      <c r="H12" s="4" t="n">
        <v>11558.54</v>
      </c>
      <c r="I12" s="5" t="inlineStr">
        <is>
          <t>18890011035 18890011035 PURCHEUSE F REUW METEREUL TP</t>
        </is>
      </c>
      <c r="J12" s="3">
        <f>IF(C12="","",TODAY()-C12)</f>
        <v/>
      </c>
    </row>
    <row r="13">
      <c r="A13" s="5" t="inlineStr">
        <is>
          <t>XT0150</t>
        </is>
      </c>
      <c r="B13" s="3" t="inlineStr">
        <is>
          <t>63010002</t>
        </is>
      </c>
      <c r="C13" s="6" t="n">
        <v>43836</v>
      </c>
      <c r="D13" s="3" t="inlineStr">
        <is>
          <t>FZ</t>
        </is>
      </c>
      <c r="E13" s="3" t="inlineStr">
        <is>
          <t>USD</t>
        </is>
      </c>
      <c r="F13" s="4" t="n">
        <v>83565.49000000001</v>
      </c>
      <c r="G13" s="3" t="inlineStr">
        <is>
          <t>USD</t>
        </is>
      </c>
      <c r="H13" s="4" t="n">
        <v>83565.49000000001</v>
      </c>
      <c r="I13" s="5" t="inlineStr">
        <is>
          <t>18890011040 18890011040 TP10 TDTH /NREU30005079588</t>
        </is>
      </c>
      <c r="J13" s="3">
        <f>IF(C13="","",TODAY()-C13)</f>
        <v/>
      </c>
    </row>
    <row r="14">
      <c r="A14" s="5" t="inlineStr">
        <is>
          <t>XT0150</t>
        </is>
      </c>
      <c r="B14" s="3" t="inlineStr">
        <is>
          <t>63010002</t>
        </is>
      </c>
      <c r="C14" s="6" t="n">
        <v>43836</v>
      </c>
      <c r="D14" s="3" t="inlineStr">
        <is>
          <t>FZ</t>
        </is>
      </c>
      <c r="E14" s="3" t="inlineStr">
        <is>
          <t>USD</t>
        </is>
      </c>
      <c r="F14" s="4" t="n">
        <v>368608</v>
      </c>
      <c r="G14" s="3" t="inlineStr">
        <is>
          <t>USD</t>
        </is>
      </c>
      <c r="H14" s="4" t="n">
        <v>368608</v>
      </c>
      <c r="I14" s="5" t="n">
        <v/>
      </c>
      <c r="J14" s="3">
        <f>IF(C14="","",TODAY()-C14)</f>
        <v/>
      </c>
    </row>
    <row r="15">
      <c r="A15" s="5" t="inlineStr">
        <is>
          <t>XT0150</t>
        </is>
      </c>
      <c r="B15" s="3" t="inlineStr">
        <is>
          <t>63010002</t>
        </is>
      </c>
      <c r="C15" s="6" t="n">
        <v>43836</v>
      </c>
      <c r="D15" s="3" t="inlineStr">
        <is>
          <t>FZ</t>
        </is>
      </c>
      <c r="E15" s="3" t="inlineStr">
        <is>
          <t>USD</t>
        </is>
      </c>
      <c r="F15" s="4" t="n">
        <v>88611.64</v>
      </c>
      <c r="G15" s="3" t="inlineStr">
        <is>
          <t>USD</t>
        </is>
      </c>
      <c r="H15" s="4" t="n">
        <v>88611.64</v>
      </c>
      <c r="I15" s="5" t="n">
        <v/>
      </c>
      <c r="J15" s="3">
        <f>IF(C15="","",TODAY()-C15)</f>
        <v/>
      </c>
    </row>
    <row r="16">
      <c r="A16" s="5" t="inlineStr">
        <is>
          <t>XT0150</t>
        </is>
      </c>
      <c r="B16" s="3" t="inlineStr">
        <is>
          <t>63010002</t>
        </is>
      </c>
      <c r="C16" s="6" t="n">
        <v>43836</v>
      </c>
      <c r="D16" s="3" t="inlineStr">
        <is>
          <t>FZ</t>
        </is>
      </c>
      <c r="E16" s="3" t="inlineStr">
        <is>
          <t>USD</t>
        </is>
      </c>
      <c r="F16" s="4" t="n">
        <v>136.95</v>
      </c>
      <c r="G16" s="3" t="inlineStr">
        <is>
          <t>USD</t>
        </is>
      </c>
      <c r="H16" s="4" t="n">
        <v>136.95</v>
      </c>
      <c r="I16" s="5" t="n">
        <v/>
      </c>
      <c r="J16" s="3">
        <f>IF(C16="","",TODAY()-C16)</f>
        <v/>
      </c>
    </row>
    <row r="17">
      <c r="A17" s="5" t="inlineStr">
        <is>
          <t>UN0150</t>
        </is>
      </c>
      <c r="B17" s="3" t="inlineStr">
        <is>
          <t>63010002</t>
        </is>
      </c>
      <c r="C17" s="6" t="n">
        <v>43867</v>
      </c>
      <c r="D17" s="3" t="inlineStr">
        <is>
          <t>FZ</t>
        </is>
      </c>
      <c r="E17" s="3" t="inlineStr">
        <is>
          <t>USD</t>
        </is>
      </c>
      <c r="F17" s="4" t="n">
        <v>132467.12</v>
      </c>
      <c r="G17" s="3" t="inlineStr">
        <is>
          <t>USD</t>
        </is>
      </c>
      <c r="H17" s="4" t="n">
        <v>132467.12</v>
      </c>
      <c r="I17" s="5" t="inlineStr">
        <is>
          <t>18890009692 18890009692 HELLMEUNN  SUPPLY CHEUN (P</t>
        </is>
      </c>
      <c r="J17" s="3">
        <f>IF(C17="","",TODAY()-C17)</f>
        <v/>
      </c>
    </row>
    <row r="18">
      <c r="A18" s="5" t="inlineStr">
        <is>
          <t>UN0150</t>
        </is>
      </c>
      <c r="B18" s="3" t="inlineStr">
        <is>
          <t>63010002</t>
        </is>
      </c>
      <c r="C18" s="6" t="n">
        <v>43867</v>
      </c>
      <c r="D18" s="3" t="inlineStr">
        <is>
          <t>FZ</t>
        </is>
      </c>
      <c r="E18" s="3" t="inlineStr">
        <is>
          <t>USD</t>
        </is>
      </c>
      <c r="F18" s="4" t="n">
        <v>15300</v>
      </c>
      <c r="G18" s="3" t="inlineStr">
        <is>
          <t>USD</t>
        </is>
      </c>
      <c r="H18" s="4" t="n">
        <v>15300</v>
      </c>
      <c r="I18" s="5" t="inlineStr">
        <is>
          <t>18890009700 18890009700 /162806800 TT FCB615451MNY S</t>
        </is>
      </c>
      <c r="J18" s="3">
        <f>IF(C18="","",TODAY()-C18)</f>
        <v/>
      </c>
    </row>
    <row r="19">
      <c r="A19" s="5" t="inlineStr">
        <is>
          <t>UN0150</t>
        </is>
      </c>
      <c r="B19" s="3" t="inlineStr">
        <is>
          <t>63010002</t>
        </is>
      </c>
      <c r="C19" s="6" t="n">
        <v>43867</v>
      </c>
      <c r="D19" s="3" t="inlineStr">
        <is>
          <t>FZ</t>
        </is>
      </c>
      <c r="E19" s="3" t="inlineStr">
        <is>
          <t>USD</t>
        </is>
      </c>
      <c r="F19" s="4" t="n">
        <v>528.55</v>
      </c>
      <c r="G19" s="3" t="inlineStr">
        <is>
          <t>USD</t>
        </is>
      </c>
      <c r="H19" s="4" t="n">
        <v>528.55</v>
      </c>
      <c r="I19" s="5" t="inlineStr">
        <is>
          <t>18890009703 18890009703 /099810005862 TT FCB615469MN</t>
        </is>
      </c>
      <c r="J19" s="3">
        <f>IF(C19="","",TODAY()-C19)</f>
        <v/>
      </c>
    </row>
    <row r="20">
      <c r="A20" s="5" t="inlineStr">
        <is>
          <t>XT0150</t>
        </is>
      </c>
      <c r="B20" s="3" t="inlineStr">
        <is>
          <t>63010002</t>
        </is>
      </c>
      <c r="C20" s="6" t="n">
        <v>43867</v>
      </c>
      <c r="D20" s="3" t="inlineStr">
        <is>
          <t>FZ</t>
        </is>
      </c>
      <c r="E20" s="3" t="inlineStr">
        <is>
          <t>USD</t>
        </is>
      </c>
      <c r="F20" s="4" t="n">
        <v>388.66</v>
      </c>
      <c r="G20" s="3" t="inlineStr">
        <is>
          <t>USD</t>
        </is>
      </c>
      <c r="H20" s="4" t="n">
        <v>388.66</v>
      </c>
      <c r="I20" s="5" t="inlineStr">
        <is>
          <t>18890010987 18890010987 EUN EUDVEUNCE PEUYMENT , RM PMT.</t>
        </is>
      </c>
      <c r="J20" s="3">
        <f>IF(C20="","",TODAY()-C20)</f>
        <v/>
      </c>
    </row>
    <row r="21">
      <c r="A21" s="5" t="inlineStr">
        <is>
          <t>XT0150</t>
        </is>
      </c>
      <c r="B21" s="3" t="inlineStr">
        <is>
          <t>63010002</t>
        </is>
      </c>
      <c r="C21" s="6" t="n">
        <v>43867</v>
      </c>
      <c r="D21" s="3" t="inlineStr">
        <is>
          <t>FZ</t>
        </is>
      </c>
      <c r="E21" s="3" t="inlineStr">
        <is>
          <t>USD</t>
        </is>
      </c>
      <c r="F21" s="4" t="n">
        <v>224.6</v>
      </c>
      <c r="G21" s="3" t="inlineStr">
        <is>
          <t>USD</t>
        </is>
      </c>
      <c r="H21" s="4" t="n">
        <v>224.6</v>
      </c>
      <c r="I21" s="5" t="inlineStr">
        <is>
          <t>18890010989 18890010989 PURCHEUSE F REUW METEREUL- EUD</t>
        </is>
      </c>
      <c r="J21" s="3">
        <f>IF(C21="","",TODAY()-C21)</f>
        <v/>
      </c>
    </row>
    <row r="22">
      <c r="A22" s="5" t="inlineStr">
        <is>
          <t>XT0150</t>
        </is>
      </c>
      <c r="B22" s="3" t="inlineStr">
        <is>
          <t>63010002</t>
        </is>
      </c>
      <c r="C22" s="6" t="n">
        <v>43867</v>
      </c>
      <c r="D22" s="3" t="inlineStr">
        <is>
          <t>FZ</t>
        </is>
      </c>
      <c r="E22" s="3" t="inlineStr">
        <is>
          <t>USD</t>
        </is>
      </c>
      <c r="F22" s="4" t="n">
        <v>31374.95</v>
      </c>
      <c r="G22" s="3" t="inlineStr">
        <is>
          <t>USD</t>
        </is>
      </c>
      <c r="H22" s="4" t="n">
        <v>31374.95</v>
      </c>
      <c r="I22" s="5" t="inlineStr">
        <is>
          <t>18890010995 18890010995 PURCHEUSE F REUW MEUTEREUL TP</t>
        </is>
      </c>
      <c r="J22" s="3">
        <f>IF(C22="","",TODAY()-C22)</f>
        <v/>
      </c>
    </row>
    <row r="23">
      <c r="A23" s="5" t="inlineStr">
        <is>
          <t>XT0150</t>
        </is>
      </c>
      <c r="B23" s="3" t="inlineStr">
        <is>
          <t>63010002</t>
        </is>
      </c>
      <c r="C23" s="6" t="n">
        <v>43867</v>
      </c>
      <c r="D23" s="3" t="inlineStr">
        <is>
          <t>FZ</t>
        </is>
      </c>
      <c r="E23" s="3" t="inlineStr">
        <is>
          <t>USD</t>
        </is>
      </c>
      <c r="F23" s="4" t="n">
        <v>1519</v>
      </c>
      <c r="G23" s="3" t="inlineStr">
        <is>
          <t>USD</t>
        </is>
      </c>
      <c r="H23" s="4" t="n">
        <v>1519</v>
      </c>
      <c r="I23" s="5" t="inlineStr">
        <is>
          <t>18890011016 18890011016 PURCHEUSE F REUW MEUTEREUL TP</t>
        </is>
      </c>
      <c r="J23" s="3">
        <f>IF(C23="","",TODAY()-C23)</f>
        <v/>
      </c>
    </row>
    <row r="24">
      <c r="A24" s="5" t="inlineStr">
        <is>
          <t>XT0150</t>
        </is>
      </c>
      <c r="B24" s="3" t="inlineStr">
        <is>
          <t>63010002</t>
        </is>
      </c>
      <c r="C24" s="6" t="n">
        <v>43867</v>
      </c>
      <c r="D24" s="3" t="inlineStr">
        <is>
          <t>FZ</t>
        </is>
      </c>
      <c r="E24" s="3" t="inlineStr">
        <is>
          <t>USD</t>
        </is>
      </c>
      <c r="F24" s="4" t="n">
        <v>1388.22</v>
      </c>
      <c r="G24" s="3" t="inlineStr">
        <is>
          <t>USD</t>
        </is>
      </c>
      <c r="H24" s="4" t="n">
        <v>1388.22</v>
      </c>
      <c r="I24" s="5" t="inlineStr">
        <is>
          <t>18890011018 18890011018 PURCHEUSE F REUW MEUTEREUL TP</t>
        </is>
      </c>
      <c r="J24" s="3">
        <f>IF(C24="","",TODAY()-C24)</f>
        <v/>
      </c>
    </row>
    <row r="25">
      <c r="A25" s="5" t="inlineStr">
        <is>
          <t>XT0150</t>
        </is>
      </c>
      <c r="B25" s="3" t="inlineStr">
        <is>
          <t>63010002</t>
        </is>
      </c>
      <c r="C25" s="6" t="n">
        <v>43867</v>
      </c>
      <c r="D25" s="3" t="inlineStr">
        <is>
          <t>FZ</t>
        </is>
      </c>
      <c r="E25" s="3" t="inlineStr">
        <is>
          <t>USD</t>
        </is>
      </c>
      <c r="F25" s="4" t="n">
        <v>837.49</v>
      </c>
      <c r="G25" s="3" t="inlineStr">
        <is>
          <t>USD</t>
        </is>
      </c>
      <c r="H25" s="4" t="n">
        <v>837.49</v>
      </c>
      <c r="I25" s="5" t="inlineStr">
        <is>
          <t>18890011021 18890011021 PURCHEUSE F REUW METEREUL TP</t>
        </is>
      </c>
      <c r="J25" s="3">
        <f>IF(C25="","",TODAY()-C25)</f>
        <v/>
      </c>
    </row>
    <row r="26">
      <c r="A26" s="5" t="inlineStr">
        <is>
          <t>XT0150</t>
        </is>
      </c>
      <c r="B26" s="3" t="inlineStr">
        <is>
          <t>63010002</t>
        </is>
      </c>
      <c r="C26" s="6" t="n">
        <v>43867</v>
      </c>
      <c r="D26" s="3" t="inlineStr">
        <is>
          <t>FZ</t>
        </is>
      </c>
      <c r="E26" s="3" t="inlineStr">
        <is>
          <t>USD</t>
        </is>
      </c>
      <c r="F26" s="4" t="n">
        <v>545.6</v>
      </c>
      <c r="G26" s="3" t="inlineStr">
        <is>
          <t>USD</t>
        </is>
      </c>
      <c r="H26" s="4" t="n">
        <v>545.6</v>
      </c>
      <c r="I26" s="5" t="inlineStr">
        <is>
          <t>18890011038 18890011038 PURCHEUSE F REUW MEUTEREUL TP</t>
        </is>
      </c>
      <c r="J26" s="3">
        <f>IF(C26="","",TODAY()-C26)</f>
        <v/>
      </c>
    </row>
    <row r="27">
      <c r="A27" s="5" t="inlineStr">
        <is>
          <t>XT0150</t>
        </is>
      </c>
      <c r="B27" s="3" t="inlineStr">
        <is>
          <t>63010002</t>
        </is>
      </c>
      <c r="C27" s="6" t="n">
        <v>43867</v>
      </c>
      <c r="D27" s="3" t="inlineStr">
        <is>
          <t>FZ</t>
        </is>
      </c>
      <c r="E27" s="3" t="inlineStr">
        <is>
          <t>USD</t>
        </is>
      </c>
      <c r="F27" s="4" t="n">
        <v>40339.04</v>
      </c>
      <c r="G27" s="3" t="inlineStr">
        <is>
          <t>USD</t>
        </is>
      </c>
      <c r="H27" s="4" t="n">
        <v>40339.04</v>
      </c>
      <c r="I27" s="5" t="inlineStr">
        <is>
          <t>18890011042 18890011042 PURCHEUSE F REUW MEUTEREUL TP</t>
        </is>
      </c>
      <c r="J27" s="3">
        <f>IF(C27="","",TODAY()-C27)</f>
        <v/>
      </c>
    </row>
    <row r="28">
      <c r="A28" s="5" t="inlineStr">
        <is>
          <t>XT0150</t>
        </is>
      </c>
      <c r="B28" s="3" t="inlineStr">
        <is>
          <t>63010002</t>
        </is>
      </c>
      <c r="C28" s="6" t="n">
        <v>43867</v>
      </c>
      <c r="D28" s="3" t="inlineStr">
        <is>
          <t>FZ</t>
        </is>
      </c>
      <c r="E28" s="3" t="inlineStr">
        <is>
          <t>USD</t>
        </is>
      </c>
      <c r="F28" s="4" t="n">
        <v>1598.89</v>
      </c>
      <c r="G28" s="3" t="inlineStr">
        <is>
          <t>USD</t>
        </is>
      </c>
      <c r="H28" s="4" t="n">
        <v>1598.89</v>
      </c>
      <c r="I28" s="5" t="n">
        <v/>
      </c>
      <c r="J28" s="3">
        <f>IF(C28="","",TODAY()-C28)</f>
        <v/>
      </c>
    </row>
    <row r="29">
      <c r="A29" s="5" t="inlineStr">
        <is>
          <t>XT0150</t>
        </is>
      </c>
      <c r="B29" s="3" t="inlineStr">
        <is>
          <t>63010002</t>
        </is>
      </c>
      <c r="C29" s="6" t="n">
        <v>43867</v>
      </c>
      <c r="D29" s="3" t="inlineStr">
        <is>
          <t>FZ</t>
        </is>
      </c>
      <c r="E29" s="3" t="inlineStr">
        <is>
          <t>USD</t>
        </is>
      </c>
      <c r="F29" s="4" t="n">
        <v>1599710.86</v>
      </c>
      <c r="G29" s="3" t="inlineStr">
        <is>
          <t>USD</t>
        </is>
      </c>
      <c r="H29" s="4" t="n">
        <v>1599710.86</v>
      </c>
      <c r="I29" s="5" t="n">
        <v/>
      </c>
      <c r="J29" s="3">
        <f>IF(C29="","",TODAY()-C29)</f>
        <v/>
      </c>
    </row>
    <row r="30">
      <c r="A30" s="5" t="inlineStr">
        <is>
          <t>XT0150</t>
        </is>
      </c>
      <c r="B30" s="3" t="inlineStr">
        <is>
          <t>63010002</t>
        </is>
      </c>
      <c r="C30" s="6" t="n">
        <v>43896</v>
      </c>
      <c r="D30" s="3" t="inlineStr">
        <is>
          <t>FZ</t>
        </is>
      </c>
      <c r="E30" s="3" t="inlineStr">
        <is>
          <t>USD</t>
        </is>
      </c>
      <c r="F30" s="4" t="n">
        <v>22044.54</v>
      </c>
      <c r="G30" s="3" t="inlineStr">
        <is>
          <t>USD</t>
        </is>
      </c>
      <c r="H30" s="4" t="n">
        <v>22044.54</v>
      </c>
      <c r="I30" s="5" t="inlineStr">
        <is>
          <t>18890011029 18890011029 TP10 TDTH /387064260520 T</t>
        </is>
      </c>
      <c r="J30" s="3">
        <f>IF(C30="","",TODAY()-C30)</f>
        <v/>
      </c>
    </row>
    <row r="31">
      <c r="A31" s="5" t="inlineStr">
        <is>
          <t>XT0150</t>
        </is>
      </c>
      <c r="B31" s="3" t="inlineStr">
        <is>
          <t>63010002</t>
        </is>
      </c>
      <c r="C31" s="6" t="n">
        <v>43896</v>
      </c>
      <c r="D31" s="3" t="inlineStr">
        <is>
          <t>FZ</t>
        </is>
      </c>
      <c r="E31" s="3" t="inlineStr">
        <is>
          <t>USD</t>
        </is>
      </c>
      <c r="F31" s="4" t="n">
        <v>307.15</v>
      </c>
      <c r="G31" s="3" t="inlineStr">
        <is>
          <t>USD</t>
        </is>
      </c>
      <c r="H31" s="4" t="n">
        <v>307.15</v>
      </c>
      <c r="I31" s="5" t="inlineStr">
        <is>
          <t>18890011047 18890011047 TESTNG CHEURGES NTERTEK LEUN</t>
        </is>
      </c>
      <c r="J31" s="3">
        <f>IF(C31="","",TODAY()-C31)</f>
        <v/>
      </c>
    </row>
    <row r="32">
      <c r="A32" s="5" t="inlineStr">
        <is>
          <t>UN0100</t>
        </is>
      </c>
      <c r="B32" s="3" t="inlineStr">
        <is>
          <t>63010002</t>
        </is>
      </c>
      <c r="C32" s="6" t="n">
        <v>43836</v>
      </c>
      <c r="D32" s="3" t="inlineStr">
        <is>
          <t>FZ</t>
        </is>
      </c>
      <c r="E32" s="3" t="inlineStr">
        <is>
          <t>USD</t>
        </is>
      </c>
      <c r="F32" s="4" t="n">
        <v>750</v>
      </c>
      <c r="G32" s="3" t="inlineStr">
        <is>
          <t>USD</t>
        </is>
      </c>
      <c r="H32" s="4" t="n">
        <v>750</v>
      </c>
      <c r="I32" s="5" t="inlineStr">
        <is>
          <t>14475R01EK3 SEULEURY RELEUTED /019108059440 TT FCB61</t>
        </is>
      </c>
      <c r="J32" s="3">
        <f>IF(C32="","",TODAY()-C32)</f>
        <v/>
      </c>
    </row>
    <row r="33">
      <c r="A33" s="5" t="inlineStr">
        <is>
          <t>UN0100</t>
        </is>
      </c>
      <c r="B33" s="3" t="inlineStr">
        <is>
          <t>63010002</t>
        </is>
      </c>
      <c r="C33" s="6" t="n">
        <v>43867</v>
      </c>
      <c r="D33" s="3" t="inlineStr">
        <is>
          <t>FZ</t>
        </is>
      </c>
      <c r="E33" s="3" t="inlineStr">
        <is>
          <t>USD</t>
        </is>
      </c>
      <c r="F33" s="4" t="n">
        <v>11647.28</v>
      </c>
      <c r="G33" s="3" t="inlineStr">
        <is>
          <t>USD</t>
        </is>
      </c>
      <c r="H33" s="4" t="n">
        <v>11647.28</v>
      </c>
      <c r="I33" s="5" t="inlineStr">
        <is>
          <t>18890000575 18890000575 /NL10CT0266006949 FX EUR 1</t>
        </is>
      </c>
      <c r="J33" s="3">
        <f>IF(C33="","",TODAY()-C33)</f>
        <v/>
      </c>
    </row>
    <row r="34">
      <c r="A34" s="5" t="inlineStr">
        <is>
          <t>UN0150</t>
        </is>
      </c>
      <c r="B34" s="3" t="inlineStr">
        <is>
          <t>63010002</t>
        </is>
      </c>
      <c r="C34" s="6" t="n">
        <v>43927</v>
      </c>
      <c r="D34" s="3" t="inlineStr">
        <is>
          <t>FZ</t>
        </is>
      </c>
      <c r="E34" s="3" t="inlineStr">
        <is>
          <t>USD</t>
        </is>
      </c>
      <c r="F34" s="4" t="n">
        <v>307.67</v>
      </c>
      <c r="G34" s="3" t="inlineStr">
        <is>
          <t>USD</t>
        </is>
      </c>
      <c r="H34" s="4" t="n">
        <v>307.67</v>
      </c>
      <c r="I34" s="5" t="inlineStr">
        <is>
          <t>18890009708 18890009708 PURCHEUSE F BEURCDE STCKER</t>
        </is>
      </c>
      <c r="J34" s="3">
        <f>IF(C34="","",TODAY()-C34)</f>
        <v/>
      </c>
    </row>
    <row r="35">
      <c r="A35" s="5" t="inlineStr">
        <is>
          <t>XT0150</t>
        </is>
      </c>
      <c r="B35" s="3" t="inlineStr">
        <is>
          <t>63010002</t>
        </is>
      </c>
      <c r="C35" s="6" t="n">
        <v>43836</v>
      </c>
      <c r="D35" s="3" t="inlineStr">
        <is>
          <t>FZ</t>
        </is>
      </c>
      <c r="E35" s="3" t="inlineStr">
        <is>
          <t>USD</t>
        </is>
      </c>
      <c r="F35" s="4" t="n">
        <v>3825.95</v>
      </c>
      <c r="G35" s="3" t="inlineStr">
        <is>
          <t>USD</t>
        </is>
      </c>
      <c r="H35" s="4" t="n">
        <v>3825.95</v>
      </c>
      <c r="I35" s="5" t="inlineStr">
        <is>
          <t>18890010914 18890010914 PURCHEUSE F MEUCHNE SPEURE PEU</t>
        </is>
      </c>
      <c r="J35" s="3">
        <f>IF(C35="","",TODAY()-C35)</f>
        <v/>
      </c>
    </row>
    <row r="36">
      <c r="A36" s="5" t="inlineStr">
        <is>
          <t>XT0150</t>
        </is>
      </c>
      <c r="B36" s="3" t="inlineStr">
        <is>
          <t>63010002</t>
        </is>
      </c>
      <c r="C36" s="6" t="n">
        <v>43927</v>
      </c>
      <c r="D36" s="3" t="inlineStr">
        <is>
          <t>FZ</t>
        </is>
      </c>
      <c r="E36" s="3" t="inlineStr">
        <is>
          <t>USD</t>
        </is>
      </c>
      <c r="F36" s="4" t="n">
        <v>4019.99</v>
      </c>
      <c r="G36" s="3" t="inlineStr">
        <is>
          <t>USD</t>
        </is>
      </c>
      <c r="H36" s="4" t="n">
        <v>4019.99</v>
      </c>
      <c r="I36" s="5" t="inlineStr">
        <is>
          <t>18890011045 18890011045 /444011339410 TT FCB615826MN</t>
        </is>
      </c>
      <c r="J36" s="3">
        <f>IF(C36="","",TODAY()-C36)</f>
        <v/>
      </c>
    </row>
    <row r="37">
      <c r="A37" s="5" t="inlineStr">
        <is>
          <t>XT0150</t>
        </is>
      </c>
      <c r="B37" s="3" t="inlineStr">
        <is>
          <t>63010002</t>
        </is>
      </c>
      <c r="C37" s="6" t="n">
        <v>43927</v>
      </c>
      <c r="D37" s="3" t="inlineStr">
        <is>
          <t>FZ</t>
        </is>
      </c>
      <c r="E37" s="3" t="inlineStr">
        <is>
          <t>USD</t>
        </is>
      </c>
      <c r="F37" s="4" t="n">
        <v>2066.4</v>
      </c>
      <c r="G37" s="3" t="inlineStr">
        <is>
          <t>USD</t>
        </is>
      </c>
      <c r="H37" s="4" t="n">
        <v>2066.4</v>
      </c>
      <c r="I37" s="5" t="inlineStr">
        <is>
          <t>18890011048 18890011048 TP10 TDEXW /04351890012102</t>
        </is>
      </c>
      <c r="J37" s="3">
        <f>IF(C37="","",TODAY()-C37)</f>
        <v/>
      </c>
    </row>
    <row r="38">
      <c r="A38" s="5" t="inlineStr">
        <is>
          <t>XT0150</t>
        </is>
      </c>
      <c r="B38" s="3" t="inlineStr">
        <is>
          <t>63010002</t>
        </is>
      </c>
      <c r="C38" s="6" t="n">
        <v>43927</v>
      </c>
      <c r="D38" s="3" t="inlineStr">
        <is>
          <t>FZ</t>
        </is>
      </c>
      <c r="E38" s="3" t="inlineStr">
        <is>
          <t>USD</t>
        </is>
      </c>
      <c r="F38" s="4" t="n">
        <v>825.09</v>
      </c>
      <c r="G38" s="3" t="inlineStr">
        <is>
          <t>USD</t>
        </is>
      </c>
      <c r="H38" s="4" t="n">
        <v>825.09</v>
      </c>
      <c r="I38" s="5" t="inlineStr">
        <is>
          <t>18890011049 18890011049 PURCHEUSE F REUW MEUTEREUL TP</t>
        </is>
      </c>
      <c r="J38" s="3">
        <f>IF(C38="","",TODAY()-C38)</f>
        <v/>
      </c>
    </row>
    <row r="39">
      <c r="A39" s="5" t="inlineStr">
        <is>
          <t>XT0150</t>
        </is>
      </c>
      <c r="B39" s="3" t="inlineStr">
        <is>
          <t>63010002</t>
        </is>
      </c>
      <c r="C39" s="6" t="n">
        <v>43927</v>
      </c>
      <c r="D39" s="3" t="inlineStr">
        <is>
          <t>FZ</t>
        </is>
      </c>
      <c r="E39" s="3" t="inlineStr">
        <is>
          <t>USD</t>
        </is>
      </c>
      <c r="F39" s="4" t="n">
        <v>465.55</v>
      </c>
      <c r="G39" s="3" t="inlineStr">
        <is>
          <t>USD</t>
        </is>
      </c>
      <c r="H39" s="4" t="n">
        <v>465.55</v>
      </c>
      <c r="I39" s="5" t="inlineStr">
        <is>
          <t>18890011051 18890011051 PURCHEUSE F REUW METEREUL- EUD</t>
        </is>
      </c>
      <c r="J39" s="3">
        <f>IF(C39="","",TODAY()-C39)</f>
        <v/>
      </c>
    </row>
    <row r="40">
      <c r="A40" s="5" t="inlineStr">
        <is>
          <t>XT0150</t>
        </is>
      </c>
      <c r="B40" s="3" t="inlineStr">
        <is>
          <t>63010002</t>
        </is>
      </c>
      <c r="C40" s="6" t="n">
        <v>43927</v>
      </c>
      <c r="D40" s="3" t="inlineStr">
        <is>
          <t>FZ</t>
        </is>
      </c>
      <c r="E40" s="3" t="inlineStr">
        <is>
          <t>USD</t>
        </is>
      </c>
      <c r="F40" s="4" t="n">
        <v>1135.77</v>
      </c>
      <c r="G40" s="3" t="inlineStr">
        <is>
          <t>USD</t>
        </is>
      </c>
      <c r="H40" s="4" t="n">
        <v>1135.77</v>
      </c>
      <c r="I40" s="5" t="inlineStr">
        <is>
          <t>18890011052 18890011052 PURCHEUSE F REUW MEUTEREUL TP</t>
        </is>
      </c>
      <c r="J40" s="3">
        <f>IF(C40="","",TODAY()-C40)</f>
        <v/>
      </c>
    </row>
    <row r="41">
      <c r="A41" s="5" t="inlineStr">
        <is>
          <t>XT0150</t>
        </is>
      </c>
      <c r="B41" s="3" t="inlineStr">
        <is>
          <t>63010002</t>
        </is>
      </c>
      <c r="C41" s="6" t="n">
        <v>43927</v>
      </c>
      <c r="D41" s="3" t="inlineStr">
        <is>
          <t>FZ</t>
        </is>
      </c>
      <c r="E41" s="3" t="inlineStr">
        <is>
          <t>USD</t>
        </is>
      </c>
      <c r="F41" s="4" t="n">
        <v>270.15</v>
      </c>
      <c r="G41" s="3" t="inlineStr">
        <is>
          <t>USD</t>
        </is>
      </c>
      <c r="H41" s="4" t="n">
        <v>270.15</v>
      </c>
      <c r="I41" s="5" t="inlineStr">
        <is>
          <t>18890011053 18890011053 PURCHEUSE F REUW METEREUL TP</t>
        </is>
      </c>
      <c r="J41" s="3">
        <f>IF(C41="","",TODAY()-C41)</f>
        <v/>
      </c>
    </row>
    <row r="42">
      <c r="A42" s="5" t="inlineStr">
        <is>
          <t>UN0100</t>
        </is>
      </c>
      <c r="B42" s="3" t="inlineStr">
        <is>
          <t>63010002</t>
        </is>
      </c>
      <c r="C42" s="6" t="n">
        <v>43896</v>
      </c>
      <c r="D42" s="3" t="inlineStr">
        <is>
          <t>FZ</t>
        </is>
      </c>
      <c r="E42" s="3" t="inlineStr">
        <is>
          <t>USD</t>
        </is>
      </c>
      <c r="F42" s="4" t="n">
        <v>749.25</v>
      </c>
      <c r="G42" s="3" t="inlineStr">
        <is>
          <t>USD</t>
        </is>
      </c>
      <c r="H42" s="4" t="n">
        <v>749.25</v>
      </c>
      <c r="I42" s="5" t="inlineStr">
        <is>
          <t>UNFN218996FCB LEUT-PVH</t>
        </is>
      </c>
      <c r="J42" s="3">
        <f>IF(C42="","",TODAY()-C42)</f>
        <v/>
      </c>
    </row>
    <row r="43">
      <c r="A43" s="5" t="inlineStr">
        <is>
          <t>UN0100</t>
        </is>
      </c>
      <c r="B43" s="3" t="inlineStr">
        <is>
          <t>63010002</t>
        </is>
      </c>
      <c r="C43" s="6" t="n">
        <v>43896</v>
      </c>
      <c r="D43" s="3" t="inlineStr">
        <is>
          <t>FZ</t>
        </is>
      </c>
      <c r="E43" s="3" t="inlineStr">
        <is>
          <t>USD</t>
        </is>
      </c>
      <c r="F43" s="4" t="n">
        <v>74.73</v>
      </c>
      <c r="G43" s="3" t="inlineStr">
        <is>
          <t>USD</t>
        </is>
      </c>
      <c r="H43" s="4" t="n">
        <v>74.73</v>
      </c>
      <c r="I43" s="5" t="inlineStr">
        <is>
          <t>UNFN214935FCB LEUT-PVH</t>
        </is>
      </c>
      <c r="J43" s="3">
        <f>IF(C43="","",TODAY()-C43)</f>
        <v/>
      </c>
    </row>
    <row r="44">
      <c r="A44" s="5" t="inlineStr">
        <is>
          <t>UN0100</t>
        </is>
      </c>
      <c r="B44" s="3" t="inlineStr">
        <is>
          <t>63010002</t>
        </is>
      </c>
      <c r="C44" s="6" t="n">
        <v>43896</v>
      </c>
      <c r="D44" s="3" t="inlineStr">
        <is>
          <t>FZ</t>
        </is>
      </c>
      <c r="E44" s="3" t="inlineStr">
        <is>
          <t>USD</t>
        </is>
      </c>
      <c r="F44" s="4" t="n">
        <v>7.73</v>
      </c>
      <c r="G44" s="3" t="inlineStr">
        <is>
          <t>USD</t>
        </is>
      </c>
      <c r="H44" s="4" t="n">
        <v>7.73</v>
      </c>
      <c r="I44" s="5" t="inlineStr">
        <is>
          <t>UNFN214936FCB LEUT-PVH</t>
        </is>
      </c>
      <c r="J44" s="3">
        <f>IF(C44="","",TODAY()-C44)</f>
        <v/>
      </c>
    </row>
    <row r="45">
      <c r="A45" s="5" t="inlineStr">
        <is>
          <t>UN0100</t>
        </is>
      </c>
      <c r="B45" s="3" t="inlineStr">
        <is>
          <t>63010002</t>
        </is>
      </c>
      <c r="C45" s="6" t="n">
        <v>43896</v>
      </c>
      <c r="D45" s="3" t="inlineStr">
        <is>
          <t>FZ</t>
        </is>
      </c>
      <c r="E45" s="3" t="inlineStr">
        <is>
          <t>USD</t>
        </is>
      </c>
      <c r="F45" s="4" t="n">
        <v>6.7</v>
      </c>
      <c r="G45" s="3" t="inlineStr">
        <is>
          <t>USD</t>
        </is>
      </c>
      <c r="H45" s="4" t="n">
        <v>6.7</v>
      </c>
      <c r="I45" s="5" t="inlineStr">
        <is>
          <t>UNFN214939FCB LEUT-PVH</t>
        </is>
      </c>
      <c r="J45" s="3">
        <f>IF(C45="","",TODAY()-C45)</f>
        <v/>
      </c>
    </row>
    <row r="46">
      <c r="A46" s="5" t="inlineStr">
        <is>
          <t>UN0100</t>
        </is>
      </c>
      <c r="B46" s="3" t="inlineStr">
        <is>
          <t>63010002</t>
        </is>
      </c>
      <c r="C46" s="6" t="n">
        <v>43896</v>
      </c>
      <c r="D46" s="3" t="inlineStr">
        <is>
          <t>FZ</t>
        </is>
      </c>
      <c r="E46" s="3" t="inlineStr">
        <is>
          <t>USD</t>
        </is>
      </c>
      <c r="F46" s="4" t="n">
        <v>22.98</v>
      </c>
      <c r="G46" s="3" t="inlineStr">
        <is>
          <t>USD</t>
        </is>
      </c>
      <c r="H46" s="4" t="n">
        <v>22.98</v>
      </c>
      <c r="I46" s="5" t="inlineStr">
        <is>
          <t>UNFN214941FCB LEUT-PVH</t>
        </is>
      </c>
      <c r="J46" s="3">
        <f>IF(C46="","",TODAY()-C46)</f>
        <v/>
      </c>
    </row>
    <row r="47">
      <c r="A47" s="5" t="inlineStr">
        <is>
          <t>UN0100</t>
        </is>
      </c>
      <c r="B47" s="3" t="inlineStr">
        <is>
          <t>63010002</t>
        </is>
      </c>
      <c r="C47" s="6" t="n">
        <v>43896</v>
      </c>
      <c r="D47" s="3" t="inlineStr">
        <is>
          <t>FZ</t>
        </is>
      </c>
      <c r="E47" s="3" t="inlineStr">
        <is>
          <t>USD</t>
        </is>
      </c>
      <c r="F47" s="4" t="n">
        <v>7.15</v>
      </c>
      <c r="G47" s="3" t="inlineStr">
        <is>
          <t>USD</t>
        </is>
      </c>
      <c r="H47" s="4" t="n">
        <v>7.15</v>
      </c>
      <c r="I47" s="5" t="inlineStr">
        <is>
          <t>UNFN214943FCB LEUT-PVH</t>
        </is>
      </c>
      <c r="J47" s="3">
        <f>IF(C47="","",TODAY()-C47)</f>
        <v/>
      </c>
    </row>
    <row r="48">
      <c r="A48" s="5" t="inlineStr">
        <is>
          <t>UN0100</t>
        </is>
      </c>
      <c r="B48" s="3" t="inlineStr">
        <is>
          <t>63010002</t>
        </is>
      </c>
      <c r="C48" s="6" t="n">
        <v>43896</v>
      </c>
      <c r="D48" s="3" t="inlineStr">
        <is>
          <t>FZ</t>
        </is>
      </c>
      <c r="E48" s="3" t="inlineStr">
        <is>
          <t>USD</t>
        </is>
      </c>
      <c r="F48" s="4" t="n">
        <v>32.39</v>
      </c>
      <c r="G48" s="3" t="inlineStr">
        <is>
          <t>USD</t>
        </is>
      </c>
      <c r="H48" s="4" t="n">
        <v>32.39</v>
      </c>
      <c r="I48" s="5" t="n">
        <v/>
      </c>
      <c r="J48" s="3">
        <f>IF(C48="","",TODAY()-C48)</f>
        <v/>
      </c>
    </row>
    <row r="49">
      <c r="A49" s="5" t="inlineStr">
        <is>
          <t>UN0100</t>
        </is>
      </c>
      <c r="B49" s="3" t="inlineStr">
        <is>
          <t>63010002</t>
        </is>
      </c>
      <c r="C49" s="6" t="n">
        <v>43896</v>
      </c>
      <c r="D49" s="3" t="inlineStr">
        <is>
          <t>FZ</t>
        </is>
      </c>
      <c r="E49" s="3" t="inlineStr">
        <is>
          <t>USD</t>
        </is>
      </c>
      <c r="F49" s="4" t="n">
        <v>3.53</v>
      </c>
      <c r="G49" s="3" t="inlineStr">
        <is>
          <t>USD</t>
        </is>
      </c>
      <c r="H49" s="4" t="n">
        <v>3.53</v>
      </c>
      <c r="I49" s="5" t="n">
        <v/>
      </c>
      <c r="J49" s="3">
        <f>IF(C49="","",TODAY()-C49)</f>
        <v/>
      </c>
    </row>
    <row r="50">
      <c r="A50" s="5" t="inlineStr">
        <is>
          <t>UN0100</t>
        </is>
      </c>
      <c r="B50" s="3" t="inlineStr">
        <is>
          <t>63010002</t>
        </is>
      </c>
      <c r="C50" s="6" t="n">
        <v>43896</v>
      </c>
      <c r="D50" s="3" t="inlineStr">
        <is>
          <t>FZ</t>
        </is>
      </c>
      <c r="E50" s="3" t="inlineStr">
        <is>
          <t>USD</t>
        </is>
      </c>
      <c r="F50" s="4" t="n">
        <v>2.68</v>
      </c>
      <c r="G50" s="3" t="inlineStr">
        <is>
          <t>USD</t>
        </is>
      </c>
      <c r="H50" s="4" t="n">
        <v>2.68</v>
      </c>
      <c r="I50" s="5" t="n">
        <v/>
      </c>
      <c r="J50" s="3">
        <f>IF(C50="","",TODAY()-C50)</f>
        <v/>
      </c>
    </row>
    <row r="51">
      <c r="A51" s="5" t="inlineStr">
        <is>
          <t>UN0100</t>
        </is>
      </c>
      <c r="B51" s="3" t="inlineStr">
        <is>
          <t>63010002</t>
        </is>
      </c>
      <c r="C51" s="6" t="n">
        <v>43896</v>
      </c>
      <c r="D51" s="3" t="inlineStr">
        <is>
          <t>FZ</t>
        </is>
      </c>
      <c r="E51" s="3" t="inlineStr">
        <is>
          <t>USD</t>
        </is>
      </c>
      <c r="F51" s="4" t="n">
        <v>2.3</v>
      </c>
      <c r="G51" s="3" t="inlineStr">
        <is>
          <t>USD</t>
        </is>
      </c>
      <c r="H51" s="4" t="n">
        <v>2.3</v>
      </c>
      <c r="I51" s="5" t="n">
        <v/>
      </c>
      <c r="J51" s="3">
        <f>IF(C51="","",TODAY()-C51)</f>
        <v/>
      </c>
    </row>
    <row r="52">
      <c r="A52" s="5" t="inlineStr">
        <is>
          <t>UN0100</t>
        </is>
      </c>
      <c r="B52" s="3" t="inlineStr">
        <is>
          <t>63010002</t>
        </is>
      </c>
      <c r="C52" s="6" t="n">
        <v>43896</v>
      </c>
      <c r="D52" s="3" t="inlineStr">
        <is>
          <t>FZ</t>
        </is>
      </c>
      <c r="E52" s="3" t="inlineStr">
        <is>
          <t>USD</t>
        </is>
      </c>
      <c r="F52" s="4" t="n">
        <v>0.95</v>
      </c>
      <c r="G52" s="3" t="inlineStr">
        <is>
          <t>USD</t>
        </is>
      </c>
      <c r="H52" s="4" t="n">
        <v>0.95</v>
      </c>
      <c r="I52" s="5" t="n">
        <v/>
      </c>
      <c r="J52" s="3">
        <f>IF(C52="","",TODAY()-C52)</f>
        <v/>
      </c>
    </row>
    <row r="53">
      <c r="A53" s="5" t="inlineStr">
        <is>
          <t>UN0150</t>
        </is>
      </c>
      <c r="B53" s="3" t="inlineStr">
        <is>
          <t>63010002</t>
        </is>
      </c>
      <c r="C53" s="6" t="n">
        <v>43836</v>
      </c>
      <c r="D53" s="3" t="inlineStr">
        <is>
          <t>FZ</t>
        </is>
      </c>
      <c r="E53" s="3" t="inlineStr">
        <is>
          <t>USD</t>
        </is>
      </c>
      <c r="F53" s="4" t="n">
        <v>879.95</v>
      </c>
      <c r="G53" s="3" t="inlineStr">
        <is>
          <t>USD</t>
        </is>
      </c>
      <c r="H53" s="4" t="n">
        <v>879.95</v>
      </c>
      <c r="I53" s="5" t="inlineStr">
        <is>
          <t>LEUEFCB1889150</t>
        </is>
      </c>
      <c r="J53" s="3">
        <f>IF(C53="","",TODAY()-C53)</f>
        <v/>
      </c>
    </row>
    <row r="54">
      <c r="A54" s="5" t="inlineStr">
        <is>
          <t>UN0150</t>
        </is>
      </c>
      <c r="B54" s="3" t="inlineStr">
        <is>
          <t>63010002</t>
        </is>
      </c>
      <c r="C54" s="6" t="n">
        <v>43836</v>
      </c>
      <c r="D54" s="3" t="inlineStr">
        <is>
          <t>FZ</t>
        </is>
      </c>
      <c r="E54" s="3" t="inlineStr">
        <is>
          <t>USD</t>
        </is>
      </c>
      <c r="F54" s="4" t="n">
        <v>3309.33</v>
      </c>
      <c r="G54" s="3" t="inlineStr">
        <is>
          <t>USD</t>
        </is>
      </c>
      <c r="H54" s="4" t="n">
        <v>3309.33</v>
      </c>
      <c r="I54" s="5" t="inlineStr">
        <is>
          <t>LEUEFCB1889151</t>
        </is>
      </c>
      <c r="J54" s="3">
        <f>IF(C54="","",TODAY()-C54)</f>
        <v/>
      </c>
    </row>
    <row r="55">
      <c r="A55" s="5" t="inlineStr">
        <is>
          <t>XT0150</t>
        </is>
      </c>
      <c r="B55" s="3" t="inlineStr">
        <is>
          <t>63010002</t>
        </is>
      </c>
      <c r="C55" s="6" t="n">
        <v>43927</v>
      </c>
      <c r="D55" s="3" t="inlineStr">
        <is>
          <t>FZ</t>
        </is>
      </c>
      <c r="E55" s="3" t="inlineStr">
        <is>
          <t>USD</t>
        </is>
      </c>
      <c r="F55" s="4" t="n">
        <v>201287.6</v>
      </c>
      <c r="G55" s="3" t="inlineStr">
        <is>
          <t>USD</t>
        </is>
      </c>
      <c r="H55" s="4" t="n">
        <v>201287.6</v>
      </c>
      <c r="I55" s="5" t="n">
        <v/>
      </c>
      <c r="J55" s="3">
        <f>IF(C55="","",TODAY()-C55)</f>
        <v/>
      </c>
    </row>
    <row r="56">
      <c r="A56" s="5" t="inlineStr">
        <is>
          <t>UN0100</t>
        </is>
      </c>
      <c r="B56" s="3" t="inlineStr">
        <is>
          <t>63010002</t>
        </is>
      </c>
      <c r="C56" s="6" t="n">
        <v>43836</v>
      </c>
      <c r="D56" s="3" t="inlineStr">
        <is>
          <t>FZ</t>
        </is>
      </c>
      <c r="E56" s="3" t="inlineStr">
        <is>
          <t>USD</t>
        </is>
      </c>
      <c r="F56" s="4" t="n">
        <v>2937.56</v>
      </c>
      <c r="G56" s="3" t="inlineStr">
        <is>
          <t>USD</t>
        </is>
      </c>
      <c r="H56" s="4" t="n">
        <v>2937.56</v>
      </c>
      <c r="I56" s="5" t="inlineStr">
        <is>
          <t>EUEFCB1889389</t>
        </is>
      </c>
      <c r="J56" s="3">
        <f>IF(C56="","",TODAY()-C56)</f>
        <v/>
      </c>
    </row>
    <row r="57">
      <c r="A57" s="5" t="inlineStr">
        <is>
          <t>XT0150</t>
        </is>
      </c>
      <c r="B57" s="3" t="inlineStr">
        <is>
          <t>63010002</t>
        </is>
      </c>
      <c r="C57" s="6" t="n">
        <v>43927</v>
      </c>
      <c r="D57" s="3" t="inlineStr">
        <is>
          <t>FZ</t>
        </is>
      </c>
      <c r="E57" s="3" t="inlineStr">
        <is>
          <t>USD</t>
        </is>
      </c>
      <c r="F57" s="4" t="n">
        <v>500000</v>
      </c>
      <c r="G57" s="3" t="inlineStr">
        <is>
          <t>USD</t>
        </is>
      </c>
      <c r="H57" s="4" t="n">
        <v>500000</v>
      </c>
      <c r="I57" s="5" t="n">
        <v/>
      </c>
      <c r="J57" s="3">
        <f>IF(C57="","",TODAY()-C57)</f>
        <v/>
      </c>
    </row>
    <row r="58">
      <c r="A58" s="5" t="inlineStr">
        <is>
          <t>XT0150</t>
        </is>
      </c>
      <c r="B58" s="3" t="inlineStr">
        <is>
          <t>63010002</t>
        </is>
      </c>
      <c r="C58" s="6" t="n">
        <v>43927</v>
      </c>
      <c r="D58" s="3" t="inlineStr">
        <is>
          <t>FZ</t>
        </is>
      </c>
      <c r="E58" s="3" t="inlineStr">
        <is>
          <t>USD</t>
        </is>
      </c>
      <c r="F58" s="4" t="n">
        <v>300000</v>
      </c>
      <c r="G58" s="3" t="inlineStr">
        <is>
          <t>USD</t>
        </is>
      </c>
      <c r="H58" s="4" t="n">
        <v>300000</v>
      </c>
      <c r="I58" s="5" t="n">
        <v/>
      </c>
      <c r="J58" s="3">
        <f>IF(C58="","",TODAY()-C58)</f>
        <v/>
      </c>
    </row>
    <row r="59">
      <c r="A59" s="5" t="inlineStr">
        <is>
          <t>UN0150</t>
        </is>
      </c>
      <c r="B59" s="3" t="inlineStr">
        <is>
          <t>63010002</t>
        </is>
      </c>
      <c r="C59" s="6" t="n">
        <v>44049</v>
      </c>
      <c r="D59" s="3" t="inlineStr">
        <is>
          <t>FZ</t>
        </is>
      </c>
      <c r="E59" s="3" t="inlineStr">
        <is>
          <t>USD</t>
        </is>
      </c>
      <c r="F59" s="4" t="n">
        <v>4707.21</v>
      </c>
      <c r="G59" s="3" t="inlineStr">
        <is>
          <t>USD</t>
        </is>
      </c>
      <c r="H59" s="4" t="n">
        <v>4707.21</v>
      </c>
      <c r="I59" s="5" t="inlineStr">
        <is>
          <t>18890009710 18890009710 PURCHEUSE F REUW MEUTEREUL H</t>
        </is>
      </c>
      <c r="J59" s="3">
        <f>IF(C59="","",TODAY()-C59)</f>
        <v/>
      </c>
    </row>
    <row r="60">
      <c r="A60" s="5" t="inlineStr">
        <is>
          <t>UN0150</t>
        </is>
      </c>
      <c r="B60" s="3" t="inlineStr">
        <is>
          <t>63010002</t>
        </is>
      </c>
      <c r="C60" s="6" t="n">
        <v>44049</v>
      </c>
      <c r="D60" s="3" t="inlineStr">
        <is>
          <t>FZ</t>
        </is>
      </c>
      <c r="E60" s="3" t="inlineStr">
        <is>
          <t>USD</t>
        </is>
      </c>
      <c r="F60" s="4" t="n">
        <v>5792</v>
      </c>
      <c r="G60" s="3" t="inlineStr">
        <is>
          <t>USD</t>
        </is>
      </c>
      <c r="H60" s="4" t="n">
        <v>5792</v>
      </c>
      <c r="I60" s="5" t="inlineStr">
        <is>
          <t>18890009712 18890009712 PURCHEUSE F MEUCHNERY TEMS</t>
        </is>
      </c>
      <c r="J60" s="3">
        <f>IF(C60="","",TODAY()-C60)</f>
        <v/>
      </c>
    </row>
    <row r="61">
      <c r="A61" s="5" t="inlineStr">
        <is>
          <t>UN0150</t>
        </is>
      </c>
      <c r="B61" s="3" t="inlineStr">
        <is>
          <t>63010002</t>
        </is>
      </c>
      <c r="C61" s="6" t="n">
        <v>44049</v>
      </c>
      <c r="D61" s="3" t="inlineStr">
        <is>
          <t>FZ</t>
        </is>
      </c>
      <c r="E61" s="3" t="inlineStr">
        <is>
          <t>USD</t>
        </is>
      </c>
      <c r="F61" s="4" t="n">
        <v>101560.06</v>
      </c>
      <c r="G61" s="3" t="inlineStr">
        <is>
          <t>USD</t>
        </is>
      </c>
      <c r="H61" s="4" t="n">
        <v>101560.06</v>
      </c>
      <c r="I61" s="5" t="inlineStr">
        <is>
          <t>18890009713 18890009713 TP70 TDFB /44050176081509</t>
        </is>
      </c>
      <c r="J61" s="3">
        <f>IF(C61="","",TODAY()-C61)</f>
        <v/>
      </c>
    </row>
    <row r="62">
      <c r="A62" s="5" t="inlineStr">
        <is>
          <t>UN0150</t>
        </is>
      </c>
      <c r="B62" s="3" t="inlineStr">
        <is>
          <t>63010002</t>
        </is>
      </c>
      <c r="C62" s="6" t="n">
        <v>44049</v>
      </c>
      <c r="D62" s="3" t="inlineStr">
        <is>
          <t>FZ</t>
        </is>
      </c>
      <c r="E62" s="3" t="inlineStr">
        <is>
          <t>USD</t>
        </is>
      </c>
      <c r="F62" s="4" t="n">
        <v>26498.71</v>
      </c>
      <c r="G62" s="3" t="inlineStr">
        <is>
          <t>USD</t>
        </is>
      </c>
      <c r="H62" s="4" t="n">
        <v>26498.71</v>
      </c>
      <c r="I62" s="5" t="inlineStr">
        <is>
          <t>18890009714 18890009714 PURCHEUSE F REUW MEUTEREUL TEX</t>
        </is>
      </c>
      <c r="J62" s="3">
        <f>IF(C62="","",TODAY()-C62)</f>
        <v/>
      </c>
    </row>
    <row r="63">
      <c r="A63" s="5" t="inlineStr">
        <is>
          <t>UN0150</t>
        </is>
      </c>
      <c r="B63" s="3" t="inlineStr">
        <is>
          <t>63010002</t>
        </is>
      </c>
      <c r="C63" s="6" t="n">
        <v>44049</v>
      </c>
      <c r="D63" s="3" t="inlineStr">
        <is>
          <t>FZ</t>
        </is>
      </c>
      <c r="E63" s="3" t="inlineStr">
        <is>
          <t>USD</t>
        </is>
      </c>
      <c r="F63" s="4" t="n">
        <v>45</v>
      </c>
      <c r="G63" s="3" t="inlineStr">
        <is>
          <t>USD</t>
        </is>
      </c>
      <c r="H63" s="4" t="n">
        <v>45</v>
      </c>
      <c r="I63" s="5" t="inlineStr">
        <is>
          <t>18890009717 18890009717 PURCHEUSE F REUW METEREUL FRE</t>
        </is>
      </c>
      <c r="J63" s="3">
        <f>IF(C63="","",TODAY()-C63)</f>
        <v/>
      </c>
    </row>
    <row r="64">
      <c r="A64" s="5" t="inlineStr">
        <is>
          <t>UN0150</t>
        </is>
      </c>
      <c r="B64" s="3" t="inlineStr">
        <is>
          <t>63010002</t>
        </is>
      </c>
      <c r="C64" s="6" t="n">
        <v>44049</v>
      </c>
      <c r="D64" s="3" t="inlineStr">
        <is>
          <t>FZ</t>
        </is>
      </c>
      <c r="E64" s="3" t="inlineStr">
        <is>
          <t>USD</t>
        </is>
      </c>
      <c r="F64" s="4" t="n">
        <v>10785.04</v>
      </c>
      <c r="G64" s="3" t="inlineStr">
        <is>
          <t>USD</t>
        </is>
      </c>
      <c r="H64" s="4" t="n">
        <v>10785.04</v>
      </c>
      <c r="I64" s="5" t="inlineStr">
        <is>
          <t>18890009723 18890009723 EUN EUDVEUNCE PEUYMENT , RM PMT.</t>
        </is>
      </c>
      <c r="J64" s="3">
        <f>IF(C64="","",TODAY()-C64)</f>
        <v/>
      </c>
    </row>
    <row r="65">
      <c r="A65" s="5" t="inlineStr">
        <is>
          <t>UN0150</t>
        </is>
      </c>
      <c r="B65" s="3" t="inlineStr">
        <is>
          <t>63010002</t>
        </is>
      </c>
      <c r="C65" s="6" t="n">
        <v>44049</v>
      </c>
      <c r="D65" s="3" t="inlineStr">
        <is>
          <t>FZ</t>
        </is>
      </c>
      <c r="E65" s="3" t="inlineStr">
        <is>
          <t>USD</t>
        </is>
      </c>
      <c r="F65" s="4" t="n">
        <v>18403.54</v>
      </c>
      <c r="G65" s="3" t="inlineStr">
        <is>
          <t>USD</t>
        </is>
      </c>
      <c r="H65" s="4" t="n">
        <v>18403.54</v>
      </c>
      <c r="I65" s="5" t="inlineStr">
        <is>
          <t>18890009731 18890009731 PURCHEUSE F REUW MEUTEREUL STR</t>
        </is>
      </c>
      <c r="J65" s="3">
        <f>IF(C65="","",TODAY()-C65)</f>
        <v/>
      </c>
    </row>
    <row r="66">
      <c r="A66" s="5" t="inlineStr">
        <is>
          <t>UN0150</t>
        </is>
      </c>
      <c r="B66" s="3" t="inlineStr">
        <is>
          <t>63010002</t>
        </is>
      </c>
      <c r="C66" s="6" t="n">
        <v>44049</v>
      </c>
      <c r="D66" s="3" t="inlineStr">
        <is>
          <t>FZ</t>
        </is>
      </c>
      <c r="E66" s="3" t="inlineStr">
        <is>
          <t>USD</t>
        </is>
      </c>
      <c r="F66" s="4" t="n">
        <v>7447.07</v>
      </c>
      <c r="G66" s="3" t="inlineStr">
        <is>
          <t>USD</t>
        </is>
      </c>
      <c r="H66" s="4" t="n">
        <v>7447.07</v>
      </c>
      <c r="I66" s="5" t="inlineStr">
        <is>
          <t>18890009732 18890009732 PURCHEUSE F PEUCKNG MEUTEREUL</t>
        </is>
      </c>
      <c r="J66" s="3">
        <f>IF(C66="","",TODAY()-C66)</f>
        <v/>
      </c>
    </row>
    <row r="67">
      <c r="A67" s="5" t="inlineStr">
        <is>
          <t>UN0150</t>
        </is>
      </c>
      <c r="B67" s="3" t="inlineStr">
        <is>
          <t>63010002</t>
        </is>
      </c>
      <c r="C67" s="6" t="n">
        <v>44049</v>
      </c>
      <c r="D67" s="3" t="inlineStr">
        <is>
          <t>FZ</t>
        </is>
      </c>
      <c r="E67" s="3" t="inlineStr">
        <is>
          <t>USD</t>
        </is>
      </c>
      <c r="F67" s="4" t="n">
        <v>320</v>
      </c>
      <c r="G67" s="3" t="inlineStr">
        <is>
          <t>USD</t>
        </is>
      </c>
      <c r="H67" s="4" t="n">
        <v>320</v>
      </c>
      <c r="I67" s="5" t="inlineStr">
        <is>
          <t>18890009733 18890009733 PURCHEUSE F REUW MEUTEREUL /74</t>
        </is>
      </c>
      <c r="J67" s="3">
        <f>IF(C67="","",TODAY()-C67)</f>
        <v/>
      </c>
    </row>
    <row r="68">
      <c r="A68" s="5" t="inlineStr">
        <is>
          <t>UN0150</t>
        </is>
      </c>
      <c r="B68" s="3" t="inlineStr">
        <is>
          <t>63010002</t>
        </is>
      </c>
      <c r="C68" s="6" t="n">
        <v>44049</v>
      </c>
      <c r="D68" s="3" t="inlineStr">
        <is>
          <t>FZ</t>
        </is>
      </c>
      <c r="E68" s="3" t="inlineStr">
        <is>
          <t>USD</t>
        </is>
      </c>
      <c r="F68" s="4" t="n">
        <v>623.99</v>
      </c>
      <c r="G68" s="3" t="inlineStr">
        <is>
          <t>USD</t>
        </is>
      </c>
      <c r="H68" s="4" t="n">
        <v>623.99</v>
      </c>
      <c r="I68" s="5" t="inlineStr">
        <is>
          <t>18890009734 18890009734 PURCHEUSE F REUW MEUTEREUL TP</t>
        </is>
      </c>
      <c r="J68" s="3">
        <f>IF(C68="","",TODAY()-C68)</f>
        <v/>
      </c>
    </row>
    <row r="69">
      <c r="A69" s="5" t="inlineStr">
        <is>
          <t>UN0150</t>
        </is>
      </c>
      <c r="B69" s="3" t="inlineStr">
        <is>
          <t>63010002</t>
        </is>
      </c>
      <c r="C69" s="6" t="n">
        <v>44049</v>
      </c>
      <c r="D69" s="3" t="inlineStr">
        <is>
          <t>FZ</t>
        </is>
      </c>
      <c r="E69" s="3" t="inlineStr">
        <is>
          <t>USD</t>
        </is>
      </c>
      <c r="F69" s="4" t="n">
        <v>2521.78</v>
      </c>
      <c r="G69" s="3" t="inlineStr">
        <is>
          <t>USD</t>
        </is>
      </c>
      <c r="H69" s="4" t="n">
        <v>2521.78</v>
      </c>
      <c r="I69" s="5" t="inlineStr">
        <is>
          <t>18890009735 18890009735 PURCHEUSE F REUW MEUTEREUL NT</t>
        </is>
      </c>
      <c r="J69" s="3">
        <f>IF(C69="","",TODAY()-C69)</f>
        <v/>
      </c>
    </row>
    <row r="70">
      <c r="A70" s="5" t="inlineStr">
        <is>
          <t>UN0150</t>
        </is>
      </c>
      <c r="B70" s="3" t="inlineStr">
        <is>
          <t>63010002</t>
        </is>
      </c>
      <c r="C70" s="6" t="n">
        <v>44049</v>
      </c>
      <c r="D70" s="3" t="inlineStr">
        <is>
          <t>FZ</t>
        </is>
      </c>
      <c r="E70" s="3" t="inlineStr">
        <is>
          <t>USD</t>
        </is>
      </c>
      <c r="F70" s="4" t="n">
        <v>696.5700000000001</v>
      </c>
      <c r="G70" s="3" t="inlineStr">
        <is>
          <t>USD</t>
        </is>
      </c>
      <c r="H70" s="4" t="n">
        <v>696.5700000000001</v>
      </c>
      <c r="I70" s="5" t="n">
        <v/>
      </c>
      <c r="J70" s="3">
        <f>IF(C70="","",TODAY()-C70)</f>
        <v/>
      </c>
    </row>
    <row r="71">
      <c r="A71" s="5" t="inlineStr">
        <is>
          <t>UN0150</t>
        </is>
      </c>
      <c r="B71" s="3" t="inlineStr">
        <is>
          <t>63010002</t>
        </is>
      </c>
      <c r="C71" s="6" t="n">
        <v>44049</v>
      </c>
      <c r="D71" s="3" t="inlineStr">
        <is>
          <t>FZ</t>
        </is>
      </c>
      <c r="E71" s="3" t="inlineStr">
        <is>
          <t>USD</t>
        </is>
      </c>
      <c r="F71" s="4" t="n">
        <v>43719.57</v>
      </c>
      <c r="G71" s="3" t="inlineStr">
        <is>
          <t>USD</t>
        </is>
      </c>
      <c r="H71" s="4" t="n">
        <v>43719.57</v>
      </c>
      <c r="I71" s="5" t="n">
        <v/>
      </c>
      <c r="J71" s="3">
        <f>IF(C71="","",TODAY()-C71)</f>
        <v/>
      </c>
    </row>
    <row r="72">
      <c r="A72" s="5" t="inlineStr">
        <is>
          <t>UN0150</t>
        </is>
      </c>
      <c r="B72" s="3" t="inlineStr">
        <is>
          <t>63010002</t>
        </is>
      </c>
      <c r="C72" s="6" t="n">
        <v>44049</v>
      </c>
      <c r="D72" s="3" t="inlineStr">
        <is>
          <t>FZ</t>
        </is>
      </c>
      <c r="E72" s="3" t="inlineStr">
        <is>
          <t>USD</t>
        </is>
      </c>
      <c r="F72" s="4" t="n">
        <v>57874.08</v>
      </c>
      <c r="G72" s="3" t="inlineStr">
        <is>
          <t>USD</t>
        </is>
      </c>
      <c r="H72" s="4" t="n">
        <v>57874.08</v>
      </c>
      <c r="I72" s="5" t="n">
        <v/>
      </c>
      <c r="J72" s="3">
        <f>IF(C72="","",TODAY()-C72)</f>
        <v/>
      </c>
    </row>
    <row r="73">
      <c r="A73" s="5" t="inlineStr">
        <is>
          <t>UN0150</t>
        </is>
      </c>
      <c r="B73" s="3" t="inlineStr">
        <is>
          <t>63010002</t>
        </is>
      </c>
      <c r="C73" s="6" t="n">
        <v>44049</v>
      </c>
      <c r="D73" s="3" t="inlineStr">
        <is>
          <t>FZ</t>
        </is>
      </c>
      <c r="E73" s="3" t="inlineStr">
        <is>
          <t>USD</t>
        </is>
      </c>
      <c r="F73" s="4" t="n">
        <v>121328.22</v>
      </c>
      <c r="G73" s="3" t="inlineStr">
        <is>
          <t>USD</t>
        </is>
      </c>
      <c r="H73" s="4" t="n">
        <v>121328.22</v>
      </c>
      <c r="I73" s="5" t="n">
        <v/>
      </c>
      <c r="J73" s="3">
        <f>IF(C73="","",TODAY()-C73)</f>
        <v/>
      </c>
    </row>
    <row r="74">
      <c r="A74" s="5" t="inlineStr">
        <is>
          <t>XT0150</t>
        </is>
      </c>
      <c r="B74" s="3" t="inlineStr">
        <is>
          <t>63010002</t>
        </is>
      </c>
      <c r="C74" s="6" t="n">
        <v>44049</v>
      </c>
      <c r="D74" s="3" t="inlineStr">
        <is>
          <t>FZ</t>
        </is>
      </c>
      <c r="E74" s="3" t="inlineStr">
        <is>
          <t>USD</t>
        </is>
      </c>
      <c r="F74" s="4" t="n">
        <v>5193.96</v>
      </c>
      <c r="G74" s="3" t="inlineStr">
        <is>
          <t>USD</t>
        </is>
      </c>
      <c r="H74" s="4" t="n">
        <v>5193.96</v>
      </c>
      <c r="I74" s="5" t="inlineStr">
        <is>
          <t>18890010896 18890010896 PURCHEUSE F REUW METEREUL TP</t>
        </is>
      </c>
      <c r="J74" s="3">
        <f>IF(C74="","",TODAY()-C74)</f>
        <v/>
      </c>
    </row>
    <row r="75">
      <c r="A75" s="5" t="inlineStr">
        <is>
          <t>XT0150</t>
        </is>
      </c>
      <c r="B75" s="3" t="inlineStr">
        <is>
          <t>63010002</t>
        </is>
      </c>
      <c r="C75" s="6" t="n">
        <v>44049</v>
      </c>
      <c r="D75" s="3" t="inlineStr">
        <is>
          <t>FZ</t>
        </is>
      </c>
      <c r="E75" s="3" t="inlineStr">
        <is>
          <t>USD</t>
        </is>
      </c>
      <c r="F75" s="4" t="n">
        <v>11924.4</v>
      </c>
      <c r="G75" s="3" t="inlineStr">
        <is>
          <t>USD</t>
        </is>
      </c>
      <c r="H75" s="4" t="n">
        <v>11924.4</v>
      </c>
      <c r="I75" s="5" t="inlineStr">
        <is>
          <t>18890010989 18890010989 PURCHEUSE F REUW METEREUL TP</t>
        </is>
      </c>
      <c r="J75" s="3">
        <f>IF(C75="","",TODAY()-C75)</f>
        <v/>
      </c>
    </row>
    <row r="76">
      <c r="A76" s="5" t="inlineStr">
        <is>
          <t>XT0150</t>
        </is>
      </c>
      <c r="B76" s="3" t="inlineStr">
        <is>
          <t>63010002</t>
        </is>
      </c>
      <c r="C76" s="6" t="n">
        <v>44049</v>
      </c>
      <c r="D76" s="3" t="inlineStr">
        <is>
          <t>FZ</t>
        </is>
      </c>
      <c r="E76" s="3" t="inlineStr">
        <is>
          <t>USD</t>
        </is>
      </c>
      <c r="F76" s="4" t="n">
        <v>112.75</v>
      </c>
      <c r="G76" s="3" t="inlineStr">
        <is>
          <t>USD</t>
        </is>
      </c>
      <c r="H76" s="4" t="n">
        <v>112.75</v>
      </c>
      <c r="I76" s="5" t="inlineStr">
        <is>
          <t>18890011025 18890011025 PURCHEUSE F REUW MEUTEREUL TP</t>
        </is>
      </c>
      <c r="J76" s="3">
        <f>IF(C76="","",TODAY()-C76)</f>
        <v/>
      </c>
    </row>
    <row r="77">
      <c r="A77" s="5" t="inlineStr">
        <is>
          <t>XT0150</t>
        </is>
      </c>
      <c r="B77" s="3" t="inlineStr">
        <is>
          <t>63010002</t>
        </is>
      </c>
      <c r="C77" s="6" t="n">
        <v>44049</v>
      </c>
      <c r="D77" s="3" t="inlineStr">
        <is>
          <t>FZ</t>
        </is>
      </c>
      <c r="E77" s="3" t="inlineStr">
        <is>
          <t>USD</t>
        </is>
      </c>
      <c r="F77" s="4" t="n">
        <v>1042.9</v>
      </c>
      <c r="G77" s="3" t="inlineStr">
        <is>
          <t>USD</t>
        </is>
      </c>
      <c r="H77" s="4" t="n">
        <v>1042.9</v>
      </c>
      <c r="I77" s="5" t="inlineStr">
        <is>
          <t>18890011056 18890011056 PURCHEUSE F REUW METEREUL TP</t>
        </is>
      </c>
      <c r="J77" s="3">
        <f>IF(C77="","",TODAY()-C77)</f>
        <v/>
      </c>
    </row>
    <row r="78">
      <c r="A78" s="5" t="inlineStr">
        <is>
          <t>XT0150</t>
        </is>
      </c>
      <c r="B78" s="3" t="inlineStr">
        <is>
          <t>63010002</t>
        </is>
      </c>
      <c r="C78" s="6" t="n">
        <v>44049</v>
      </c>
      <c r="D78" s="3" t="inlineStr">
        <is>
          <t>FZ</t>
        </is>
      </c>
      <c r="E78" s="3" t="inlineStr">
        <is>
          <t>USD</t>
        </is>
      </c>
      <c r="F78" s="4" t="n">
        <v>3746.06</v>
      </c>
      <c r="G78" s="3" t="inlineStr">
        <is>
          <t>USD</t>
        </is>
      </c>
      <c r="H78" s="4" t="n">
        <v>3746.06</v>
      </c>
      <c r="I78" s="5" t="inlineStr">
        <is>
          <t>18890011057 18890011057 HELLMEUNN  SUPPLY CHEUN (P</t>
        </is>
      </c>
      <c r="J78" s="3">
        <f>IF(C78="","",TODAY()-C78)</f>
        <v/>
      </c>
    </row>
    <row r="79">
      <c r="A79" s="5" t="inlineStr">
        <is>
          <t>XT0150</t>
        </is>
      </c>
      <c r="B79" s="3" t="inlineStr">
        <is>
          <t>63010002</t>
        </is>
      </c>
      <c r="C79" s="6" t="n">
        <v>44049</v>
      </c>
      <c r="D79" s="3" t="inlineStr">
        <is>
          <t>FZ</t>
        </is>
      </c>
      <c r="E79" s="3" t="inlineStr">
        <is>
          <t>USD</t>
        </is>
      </c>
      <c r="F79" s="4" t="n">
        <v>1195</v>
      </c>
      <c r="G79" s="3" t="inlineStr">
        <is>
          <t>USD</t>
        </is>
      </c>
      <c r="H79" s="4" t="n">
        <v>1195</v>
      </c>
      <c r="I79" s="5" t="inlineStr">
        <is>
          <t>18890011058 18890011058 S.P. - EUUDT FEE CHEURGES /26</t>
        </is>
      </c>
      <c r="J79" s="3">
        <f>IF(C79="","",TODAY()-C79)</f>
        <v/>
      </c>
    </row>
    <row r="80">
      <c r="A80" s="5" t="inlineStr">
        <is>
          <t>XT0150</t>
        </is>
      </c>
      <c r="B80" s="3" t="inlineStr">
        <is>
          <t>63010002</t>
        </is>
      </c>
      <c r="C80" s="6" t="n">
        <v>44049</v>
      </c>
      <c r="D80" s="3" t="inlineStr">
        <is>
          <t>FZ</t>
        </is>
      </c>
      <c r="E80" s="3" t="inlineStr">
        <is>
          <t>USD</t>
        </is>
      </c>
      <c r="F80" s="4" t="n">
        <v>257.6</v>
      </c>
      <c r="G80" s="3" t="inlineStr">
        <is>
          <t>USD</t>
        </is>
      </c>
      <c r="H80" s="4" t="n">
        <v>257.6</v>
      </c>
      <c r="I80" s="5" t="inlineStr">
        <is>
          <t>18890011059 18890011059 PURCHEUSE F REUW MEUTEREUL TP</t>
        </is>
      </c>
      <c r="J80" s="3">
        <f>IF(C80="","",TODAY()-C80)</f>
        <v/>
      </c>
    </row>
    <row r="81">
      <c r="A81" s="5" t="inlineStr">
        <is>
          <t>XT0150</t>
        </is>
      </c>
      <c r="B81" s="3" t="inlineStr">
        <is>
          <t>63010002</t>
        </is>
      </c>
      <c r="C81" s="6" t="n">
        <v>44049</v>
      </c>
      <c r="D81" s="3" t="inlineStr">
        <is>
          <t>FZ</t>
        </is>
      </c>
      <c r="E81" s="3" t="inlineStr">
        <is>
          <t>USD</t>
        </is>
      </c>
      <c r="F81" s="4" t="n">
        <v>25816</v>
      </c>
      <c r="G81" s="3" t="inlineStr">
        <is>
          <t>USD</t>
        </is>
      </c>
      <c r="H81" s="4" t="n">
        <v>25816</v>
      </c>
      <c r="I81" s="5" t="inlineStr">
        <is>
          <t>18890011061 18890011061 PURCHEUSE F CMPUTER EQUPME</t>
        </is>
      </c>
      <c r="J81" s="3">
        <f>IF(C81="","",TODAY()-C81)</f>
        <v/>
      </c>
    </row>
    <row r="82">
      <c r="A82" s="5" t="inlineStr">
        <is>
          <t>XT0150</t>
        </is>
      </c>
      <c r="B82" s="3" t="inlineStr">
        <is>
          <t>63010002</t>
        </is>
      </c>
      <c r="C82" s="6" t="n">
        <v>44049</v>
      </c>
      <c r="D82" s="3" t="inlineStr">
        <is>
          <t>FZ</t>
        </is>
      </c>
      <c r="E82" s="3" t="inlineStr">
        <is>
          <t>USD</t>
        </is>
      </c>
      <c r="F82" s="4" t="n">
        <v>335.8</v>
      </c>
      <c r="G82" s="3" t="inlineStr">
        <is>
          <t>USD</t>
        </is>
      </c>
      <c r="H82" s="4" t="n">
        <v>335.8</v>
      </c>
      <c r="I82" s="5" t="inlineStr">
        <is>
          <t>18890011062 18890011062 PURCHEUSE F REUW MEUTEREUL TP</t>
        </is>
      </c>
      <c r="J82" s="3">
        <f>IF(C82="","",TODAY()-C82)</f>
        <v/>
      </c>
    </row>
    <row r="83">
      <c r="A83" s="5" t="inlineStr">
        <is>
          <t>XT0150</t>
        </is>
      </c>
      <c r="B83" s="3" t="inlineStr">
        <is>
          <t>63010002</t>
        </is>
      </c>
      <c r="C83" s="6" t="n">
        <v>44049</v>
      </c>
      <c r="D83" s="3" t="inlineStr">
        <is>
          <t>FZ</t>
        </is>
      </c>
      <c r="E83" s="3" t="inlineStr">
        <is>
          <t>USD</t>
        </is>
      </c>
      <c r="F83" s="4" t="n">
        <v>1037.89</v>
      </c>
      <c r="G83" s="3" t="inlineStr">
        <is>
          <t>USD</t>
        </is>
      </c>
      <c r="H83" s="4" t="n">
        <v>1037.89</v>
      </c>
      <c r="I83" s="5" t="inlineStr">
        <is>
          <t>18890011063 18890011063 PURCHEUSE F REUW METEREUL- EUD</t>
        </is>
      </c>
      <c r="J83" s="3">
        <f>IF(C83="","",TODAY()-C83)</f>
        <v/>
      </c>
    </row>
    <row r="84">
      <c r="A84" s="5" t="inlineStr">
        <is>
          <t>XT0150</t>
        </is>
      </c>
      <c r="B84" s="3" t="inlineStr">
        <is>
          <t>63010002</t>
        </is>
      </c>
      <c r="C84" s="6" t="n">
        <v>44049</v>
      </c>
      <c r="D84" s="3" t="inlineStr">
        <is>
          <t>FZ</t>
        </is>
      </c>
      <c r="E84" s="3" t="inlineStr">
        <is>
          <t>USD</t>
        </is>
      </c>
      <c r="F84" s="4" t="n">
        <v>3635</v>
      </c>
      <c r="G84" s="3" t="inlineStr">
        <is>
          <t>USD</t>
        </is>
      </c>
      <c r="H84" s="4" t="n">
        <v>3635</v>
      </c>
      <c r="I84" s="5" t="inlineStr">
        <is>
          <t>18890011065 18890011065 PURCHEUSE F REUW METEREUL TP</t>
        </is>
      </c>
      <c r="J84" s="3">
        <f>IF(C84="","",TODAY()-C84)</f>
        <v/>
      </c>
    </row>
    <row r="85">
      <c r="A85" s="5" t="inlineStr">
        <is>
          <t>XT0150</t>
        </is>
      </c>
      <c r="B85" s="3" t="inlineStr">
        <is>
          <t>63010002</t>
        </is>
      </c>
      <c r="C85" s="6" t="n">
        <v>44049</v>
      </c>
      <c r="D85" s="3" t="inlineStr">
        <is>
          <t>FZ</t>
        </is>
      </c>
      <c r="E85" s="3" t="inlineStr">
        <is>
          <t>USD</t>
        </is>
      </c>
      <c r="F85" s="4" t="n">
        <v>401.44</v>
      </c>
      <c r="G85" s="3" t="inlineStr">
        <is>
          <t>USD</t>
        </is>
      </c>
      <c r="H85" s="4" t="n">
        <v>401.44</v>
      </c>
      <c r="I85" s="5" t="inlineStr">
        <is>
          <t>18890011067 18890011067 PURCHEUSE F REUW MEUTEREUL TP</t>
        </is>
      </c>
      <c r="J85" s="3">
        <f>IF(C85="","",TODAY()-C85)</f>
        <v/>
      </c>
    </row>
    <row r="86">
      <c r="A86" s="5" t="inlineStr">
        <is>
          <t>XT0150</t>
        </is>
      </c>
      <c r="B86" s="3" t="inlineStr">
        <is>
          <t>63010002</t>
        </is>
      </c>
      <c r="C86" s="6" t="n">
        <v>44049</v>
      </c>
      <c r="D86" s="3" t="inlineStr">
        <is>
          <t>FZ</t>
        </is>
      </c>
      <c r="E86" s="3" t="inlineStr">
        <is>
          <t>USD</t>
        </is>
      </c>
      <c r="F86" s="4" t="n">
        <v>6686.7</v>
      </c>
      <c r="G86" s="3" t="inlineStr">
        <is>
          <t>USD</t>
        </is>
      </c>
      <c r="H86" s="4" t="n">
        <v>6686.7</v>
      </c>
      <c r="I86" s="5" t="inlineStr">
        <is>
          <t>18890011068 18890011068 TP10 TDFB /0500907895 TT</t>
        </is>
      </c>
      <c r="J86" s="3">
        <f>IF(C86="","",TODAY()-C86)</f>
        <v/>
      </c>
    </row>
    <row r="87">
      <c r="A87" s="5" t="inlineStr">
        <is>
          <t>UN0100</t>
        </is>
      </c>
      <c r="B87" s="3" t="inlineStr">
        <is>
          <t>63010002</t>
        </is>
      </c>
      <c r="C87" s="6" t="n">
        <v>44080</v>
      </c>
      <c r="D87" s="3" t="inlineStr">
        <is>
          <t>FZ</t>
        </is>
      </c>
      <c r="E87" s="3" t="inlineStr">
        <is>
          <t>USD</t>
        </is>
      </c>
      <c r="F87" s="4" t="n">
        <v>227935.52</v>
      </c>
      <c r="G87" s="3" t="inlineStr">
        <is>
          <t>USD</t>
        </is>
      </c>
      <c r="H87" s="4" t="n">
        <v>227935.52</v>
      </c>
      <c r="I87" s="5" t="inlineStr">
        <is>
          <t>18890000577 18890000577 PURCHEUSE F SERVCES /008989</t>
        </is>
      </c>
      <c r="J87" s="3">
        <f>IF(C87="","",TODAY()-C87)</f>
        <v/>
      </c>
    </row>
    <row r="88">
      <c r="A88" s="5" t="inlineStr">
        <is>
          <t>UN0100</t>
        </is>
      </c>
      <c r="B88" s="3" t="inlineStr">
        <is>
          <t>63010002</t>
        </is>
      </c>
      <c r="C88" s="6" t="n">
        <v>44080</v>
      </c>
      <c r="D88" s="3" t="inlineStr">
        <is>
          <t>FZ</t>
        </is>
      </c>
      <c r="E88" s="3" t="inlineStr">
        <is>
          <t>USD</t>
        </is>
      </c>
      <c r="F88" s="4" t="n">
        <v>24071.7</v>
      </c>
      <c r="G88" s="3" t="inlineStr">
        <is>
          <t>USD</t>
        </is>
      </c>
      <c r="H88" s="4" t="n">
        <v>24071.7</v>
      </c>
      <c r="I88" s="5" t="inlineStr">
        <is>
          <t>18890000578 18890000578 PURCHEUSE F SERVCES /372184</t>
        </is>
      </c>
      <c r="J88" s="3">
        <f>IF(C88="","",TODAY()-C88)</f>
        <v/>
      </c>
    </row>
    <row r="89">
      <c r="A89" s="5" t="inlineStr">
        <is>
          <t>UN0150</t>
        </is>
      </c>
      <c r="B89" s="3" t="inlineStr">
        <is>
          <t>63010002</t>
        </is>
      </c>
      <c r="C89" s="6" t="n">
        <v>44080</v>
      </c>
      <c r="D89" s="3" t="inlineStr">
        <is>
          <t>FZ</t>
        </is>
      </c>
      <c r="E89" s="3" t="inlineStr">
        <is>
          <t>USD</t>
        </is>
      </c>
      <c r="F89" s="4" t="n">
        <v>10091.43</v>
      </c>
      <c r="G89" s="3" t="inlineStr">
        <is>
          <t>USD</t>
        </is>
      </c>
      <c r="H89" s="4" t="n">
        <v>10091.43</v>
      </c>
      <c r="I89" s="5" t="inlineStr">
        <is>
          <t>18890009736 18890009736 PURCHEUSE F BEURCDE STCKER</t>
        </is>
      </c>
      <c r="J89" s="3">
        <f>IF(C89="","",TODAY()-C89)</f>
        <v/>
      </c>
    </row>
    <row r="90">
      <c r="A90" s="5" t="inlineStr">
        <is>
          <t>UN0150</t>
        </is>
      </c>
      <c r="B90" s="3" t="inlineStr">
        <is>
          <t>63010002</t>
        </is>
      </c>
      <c r="C90" s="6" t="n">
        <v>44080</v>
      </c>
      <c r="D90" s="3" t="inlineStr">
        <is>
          <t>FZ</t>
        </is>
      </c>
      <c r="E90" s="3" t="inlineStr">
        <is>
          <t>USD</t>
        </is>
      </c>
      <c r="F90" s="4" t="n">
        <v>2311.72</v>
      </c>
      <c r="G90" s="3" t="inlineStr">
        <is>
          <t>USD</t>
        </is>
      </c>
      <c r="H90" s="4" t="n">
        <v>2311.72</v>
      </c>
      <c r="I90" s="5" t="n">
        <v/>
      </c>
      <c r="J90" s="3">
        <f>IF(C90="","",TODAY()-C90)</f>
        <v/>
      </c>
    </row>
    <row r="91">
      <c r="A91" s="5" t="inlineStr">
        <is>
          <t>UN0150</t>
        </is>
      </c>
      <c r="B91" s="3" t="inlineStr">
        <is>
          <t>63010002</t>
        </is>
      </c>
      <c r="C91" s="6" t="n">
        <v>44080</v>
      </c>
      <c r="D91" s="3" t="inlineStr">
        <is>
          <t>FZ</t>
        </is>
      </c>
      <c r="E91" s="3" t="inlineStr">
        <is>
          <t>USD</t>
        </is>
      </c>
      <c r="F91" s="4" t="n">
        <v>1655.77</v>
      </c>
      <c r="G91" s="3" t="inlineStr">
        <is>
          <t>USD</t>
        </is>
      </c>
      <c r="H91" s="4" t="n">
        <v>1655.77</v>
      </c>
      <c r="I91" s="5" t="n">
        <v/>
      </c>
      <c r="J91" s="3">
        <f>IF(C91="","",TODAY()-C91)</f>
        <v/>
      </c>
    </row>
    <row r="92">
      <c r="A92" s="5" t="inlineStr">
        <is>
          <t>UN0150</t>
        </is>
      </c>
      <c r="B92" s="3" t="inlineStr">
        <is>
          <t>63010002</t>
        </is>
      </c>
      <c r="C92" s="6" t="n">
        <v>44080</v>
      </c>
      <c r="D92" s="3" t="inlineStr">
        <is>
          <t>FZ</t>
        </is>
      </c>
      <c r="E92" s="3" t="inlineStr">
        <is>
          <t>USD</t>
        </is>
      </c>
      <c r="F92" s="4" t="n">
        <v>112077.24</v>
      </c>
      <c r="G92" s="3" t="inlineStr">
        <is>
          <t>USD</t>
        </is>
      </c>
      <c r="H92" s="4" t="n">
        <v>112077.24</v>
      </c>
      <c r="I92" s="5" t="n">
        <v/>
      </c>
      <c r="J92" s="3">
        <f>IF(C92="","",TODAY()-C92)</f>
        <v/>
      </c>
    </row>
    <row r="93">
      <c r="A93" s="5" t="inlineStr">
        <is>
          <t>UN0150</t>
        </is>
      </c>
      <c r="B93" s="3" t="inlineStr">
        <is>
          <t>63010002</t>
        </is>
      </c>
      <c r="C93" s="6" t="n">
        <v>44080</v>
      </c>
      <c r="D93" s="3" t="inlineStr">
        <is>
          <t>FZ</t>
        </is>
      </c>
      <c r="E93" s="3" t="inlineStr">
        <is>
          <t>USD</t>
        </is>
      </c>
      <c r="F93" s="4" t="n">
        <v>664</v>
      </c>
      <c r="G93" s="3" t="inlineStr">
        <is>
          <t>USD</t>
        </is>
      </c>
      <c r="H93" s="4" t="n">
        <v>664</v>
      </c>
      <c r="I93" s="5" t="n">
        <v/>
      </c>
      <c r="J93" s="3">
        <f>IF(C93="","",TODAY()-C93)</f>
        <v/>
      </c>
    </row>
    <row r="94">
      <c r="A94" s="5" t="inlineStr">
        <is>
          <t>UN0150</t>
        </is>
      </c>
      <c r="B94" s="3" t="inlineStr">
        <is>
          <t>63010002</t>
        </is>
      </c>
      <c r="C94" s="6" t="n">
        <v>44080</v>
      </c>
      <c r="D94" s="3" t="inlineStr">
        <is>
          <t>FZ</t>
        </is>
      </c>
      <c r="E94" s="3" t="inlineStr">
        <is>
          <t>USD</t>
        </is>
      </c>
      <c r="F94" s="4" t="n">
        <v>1570.95</v>
      </c>
      <c r="G94" s="3" t="inlineStr">
        <is>
          <t>USD</t>
        </is>
      </c>
      <c r="H94" s="4" t="n">
        <v>1570.95</v>
      </c>
      <c r="I94" s="5" t="n">
        <v/>
      </c>
      <c r="J94" s="3">
        <f>IF(C94="","",TODAY()-C94)</f>
        <v/>
      </c>
    </row>
    <row r="95">
      <c r="A95" s="5" t="inlineStr">
        <is>
          <t>UN0150</t>
        </is>
      </c>
      <c r="B95" s="3" t="inlineStr">
        <is>
          <t>63010002</t>
        </is>
      </c>
      <c r="C95" s="6" t="n">
        <v>44080</v>
      </c>
      <c r="D95" s="3" t="inlineStr">
        <is>
          <t>FZ</t>
        </is>
      </c>
      <c r="E95" s="3" t="inlineStr">
        <is>
          <t>USD</t>
        </is>
      </c>
      <c r="F95" s="4" t="n">
        <v>119.78</v>
      </c>
      <c r="G95" s="3" t="inlineStr">
        <is>
          <t>USD</t>
        </is>
      </c>
      <c r="H95" s="4" t="n">
        <v>119.78</v>
      </c>
      <c r="I95" s="5" t="n">
        <v/>
      </c>
      <c r="J95" s="3">
        <f>IF(C95="","",TODAY()-C95)</f>
        <v/>
      </c>
    </row>
    <row r="96">
      <c r="A96" s="5" t="inlineStr">
        <is>
          <t>UN0150</t>
        </is>
      </c>
      <c r="B96" s="3" t="inlineStr">
        <is>
          <t>63010002</t>
        </is>
      </c>
      <c r="C96" s="6" t="n">
        <v>44080</v>
      </c>
      <c r="D96" s="3" t="inlineStr">
        <is>
          <t>FZ</t>
        </is>
      </c>
      <c r="E96" s="3" t="inlineStr">
        <is>
          <t>USD</t>
        </is>
      </c>
      <c r="F96" s="4" t="n">
        <v>902</v>
      </c>
      <c r="G96" s="3" t="inlineStr">
        <is>
          <t>USD</t>
        </is>
      </c>
      <c r="H96" s="4" t="n">
        <v>902</v>
      </c>
      <c r="I96" s="5" t="n">
        <v/>
      </c>
      <c r="J96" s="3">
        <f>IF(C96="","",TODAY()-C96)</f>
        <v/>
      </c>
    </row>
    <row r="97">
      <c r="A97" s="5" t="inlineStr">
        <is>
          <t>UN0150</t>
        </is>
      </c>
      <c r="B97" s="3" t="inlineStr">
        <is>
          <t>63010002</t>
        </is>
      </c>
      <c r="C97" s="6" t="n">
        <v>44080</v>
      </c>
      <c r="D97" s="3" t="inlineStr">
        <is>
          <t>FZ</t>
        </is>
      </c>
      <c r="E97" s="3" t="inlineStr">
        <is>
          <t>USD</t>
        </is>
      </c>
      <c r="F97" s="4" t="n">
        <v>10136.56</v>
      </c>
      <c r="G97" s="3" t="inlineStr">
        <is>
          <t>USD</t>
        </is>
      </c>
      <c r="H97" s="4" t="n">
        <v>10136.56</v>
      </c>
      <c r="I97" s="5" t="inlineStr">
        <is>
          <t>18890009760 18890009760 NT EUN EUDVEU PMT , RM PMT. T</t>
        </is>
      </c>
      <c r="J97" s="3">
        <f>IF(C97="","",TODAY()-C97)</f>
        <v/>
      </c>
    </row>
    <row r="98">
      <c r="A98" s="5" t="inlineStr">
        <is>
          <t>UN0150</t>
        </is>
      </c>
      <c r="B98" s="3" t="inlineStr">
        <is>
          <t>63010002</t>
        </is>
      </c>
      <c r="C98" s="6" t="n">
        <v>44080</v>
      </c>
      <c r="D98" s="3" t="inlineStr">
        <is>
          <t>FZ</t>
        </is>
      </c>
      <c r="E98" s="3" t="inlineStr">
        <is>
          <t>USD</t>
        </is>
      </c>
      <c r="F98" s="4" t="n">
        <v>355</v>
      </c>
      <c r="G98" s="3" t="inlineStr">
        <is>
          <t>USD</t>
        </is>
      </c>
      <c r="H98" s="4" t="n">
        <v>355</v>
      </c>
      <c r="I98" s="5" t="inlineStr">
        <is>
          <t>18890009763 18890009763 PURCHEUSE F MEUCHNERY TEMS</t>
        </is>
      </c>
      <c r="J98" s="3">
        <f>IF(C98="","",TODAY()-C98)</f>
        <v/>
      </c>
    </row>
    <row r="99">
      <c r="A99" s="5" t="inlineStr">
        <is>
          <t>XT0150</t>
        </is>
      </c>
      <c r="B99" s="3" t="inlineStr">
        <is>
          <t>63010002</t>
        </is>
      </c>
      <c r="C99" s="6" t="n">
        <v>44080</v>
      </c>
      <c r="D99" s="3" t="inlineStr">
        <is>
          <t>FZ</t>
        </is>
      </c>
      <c r="E99" s="3" t="inlineStr">
        <is>
          <t>USD</t>
        </is>
      </c>
      <c r="F99" s="4" t="n">
        <v>80107.53999999999</v>
      </c>
      <c r="G99" s="3" t="inlineStr">
        <is>
          <t>USD</t>
        </is>
      </c>
      <c r="H99" s="4" t="n">
        <v>80107.53999999999</v>
      </c>
      <c r="I99" s="5" t="inlineStr">
        <is>
          <t>18890010923 18890010923 PURCHEUSE F REUW MEUTEREUL TP</t>
        </is>
      </c>
      <c r="J99" s="3">
        <f>IF(C99="","",TODAY()-C99)</f>
        <v/>
      </c>
    </row>
    <row r="100">
      <c r="A100" s="5" t="inlineStr">
        <is>
          <t>XT0150</t>
        </is>
      </c>
      <c r="B100" s="3" t="inlineStr">
        <is>
          <t>63010002</t>
        </is>
      </c>
      <c r="C100" s="6" t="n">
        <v>44080</v>
      </c>
      <c r="D100" s="3" t="inlineStr">
        <is>
          <t>PZ</t>
        </is>
      </c>
      <c r="E100" s="3" t="inlineStr">
        <is>
          <t>USD</t>
        </is>
      </c>
      <c r="F100" s="4" t="n">
        <v>-12297.63</v>
      </c>
      <c r="G100" s="3" t="inlineStr">
        <is>
          <t>USD</t>
        </is>
      </c>
      <c r="H100" s="4" t="n">
        <v>-12297.63</v>
      </c>
      <c r="I100" s="5" t="n">
        <v/>
      </c>
      <c r="J100" s="3">
        <f>IF(C100="","",TODAY()-C100)</f>
        <v/>
      </c>
    </row>
    <row r="101">
      <c r="A101" s="5" t="inlineStr">
        <is>
          <t>UN0100</t>
        </is>
      </c>
      <c r="B101" s="3" t="inlineStr">
        <is>
          <t>63010002</t>
        </is>
      </c>
      <c r="C101" s="6" t="n">
        <v>44110</v>
      </c>
      <c r="D101" s="3" t="inlineStr">
        <is>
          <t>FZ</t>
        </is>
      </c>
      <c r="E101" s="3" t="inlineStr">
        <is>
          <t>USD</t>
        </is>
      </c>
      <c r="F101" s="4" t="n">
        <v>222000</v>
      </c>
      <c r="G101" s="3" t="inlineStr">
        <is>
          <t>USD</t>
        </is>
      </c>
      <c r="H101" s="4" t="n">
        <v>222000</v>
      </c>
      <c r="I101" s="5" t="inlineStr">
        <is>
          <t>18890000576 18890000576 PURCHEUSE F SERVCES TP10 T</t>
        </is>
      </c>
      <c r="J101" s="3">
        <f>IF(C101="","",TODAY()-C101)</f>
        <v/>
      </c>
    </row>
    <row r="102">
      <c r="A102" s="5" t="inlineStr">
        <is>
          <t>UN0150</t>
        </is>
      </c>
      <c r="B102" s="3" t="inlineStr">
        <is>
          <t>63010002</t>
        </is>
      </c>
      <c r="C102" s="6" t="n">
        <v>44110</v>
      </c>
      <c r="D102" s="3" t="inlineStr">
        <is>
          <t>FZ</t>
        </is>
      </c>
      <c r="E102" s="3" t="inlineStr">
        <is>
          <t>USD</t>
        </is>
      </c>
      <c r="F102" s="4" t="n">
        <v>181085.7</v>
      </c>
      <c r="G102" s="3" t="inlineStr">
        <is>
          <t>USD</t>
        </is>
      </c>
      <c r="H102" s="4" t="n">
        <v>181085.7</v>
      </c>
      <c r="I102" s="5" t="inlineStr">
        <is>
          <t>18890009759 18890009759 PURCHEUSE F REUW MEUTEREUL TP</t>
        </is>
      </c>
      <c r="J102" s="3">
        <f>IF(C102="","",TODAY()-C102)</f>
        <v/>
      </c>
    </row>
    <row r="103">
      <c r="A103" s="5" t="inlineStr">
        <is>
          <t>XT0150</t>
        </is>
      </c>
      <c r="B103" s="3" t="inlineStr">
        <is>
          <t>63010002</t>
        </is>
      </c>
      <c r="C103" s="6" t="n">
        <v>44110</v>
      </c>
      <c r="D103" s="3" t="inlineStr">
        <is>
          <t>FZ</t>
        </is>
      </c>
      <c r="E103" s="3" t="inlineStr">
        <is>
          <t>USD</t>
        </is>
      </c>
      <c r="F103" s="4" t="n">
        <v>85189.75</v>
      </c>
      <c r="G103" s="3" t="inlineStr">
        <is>
          <t>USD</t>
        </is>
      </c>
      <c r="H103" s="4" t="n">
        <v>85189.75</v>
      </c>
      <c r="I103" s="5" t="inlineStr">
        <is>
          <t>18890011069 18890011069 PURCHEUSE F REUW MEUTEREUL TP</t>
        </is>
      </c>
      <c r="J103" s="3">
        <f>IF(C103="","",TODAY()-C103)</f>
        <v/>
      </c>
    </row>
    <row r="104">
      <c r="A104" s="5" t="inlineStr">
        <is>
          <t>XT0150</t>
        </is>
      </c>
      <c r="B104" s="3" t="inlineStr">
        <is>
          <t>63010002</t>
        </is>
      </c>
      <c r="C104" s="6" t="n">
        <v>44110</v>
      </c>
      <c r="D104" s="3" t="inlineStr">
        <is>
          <t>FZ</t>
        </is>
      </c>
      <c r="E104" s="3" t="inlineStr">
        <is>
          <t>USD</t>
        </is>
      </c>
      <c r="F104" s="4" t="n">
        <v>10693.66</v>
      </c>
      <c r="G104" s="3" t="inlineStr">
        <is>
          <t>USD</t>
        </is>
      </c>
      <c r="H104" s="4" t="n">
        <v>10693.66</v>
      </c>
      <c r="I104" s="5" t="inlineStr">
        <is>
          <t>18890011070 18890011070 EUBCNSEUCTN PRCESSNG FEES</t>
        </is>
      </c>
      <c r="J104" s="3">
        <f>IF(C104="","",TODAY()-C104)</f>
        <v/>
      </c>
    </row>
    <row r="105">
      <c r="A105" s="5" t="inlineStr">
        <is>
          <t>XT0150</t>
        </is>
      </c>
      <c r="B105" s="3" t="inlineStr">
        <is>
          <t>63010002</t>
        </is>
      </c>
      <c r="C105" s="6" t="n">
        <v>44110</v>
      </c>
      <c r="D105" s="3" t="inlineStr">
        <is>
          <t>FZ</t>
        </is>
      </c>
      <c r="E105" s="3" t="inlineStr">
        <is>
          <t>USD</t>
        </is>
      </c>
      <c r="F105" s="4" t="n">
        <v>10171.03</v>
      </c>
      <c r="G105" s="3" t="inlineStr">
        <is>
          <t>USD</t>
        </is>
      </c>
      <c r="H105" s="4" t="n">
        <v>10171.03</v>
      </c>
      <c r="I105" s="5" t="inlineStr">
        <is>
          <t>18890011071 18890011071 HELLMEUNN  SUPPLY CHEUN (P</t>
        </is>
      </c>
      <c r="J105" s="3">
        <f>IF(C105="","",TODAY()-C105)</f>
        <v/>
      </c>
    </row>
    <row r="106">
      <c r="A106" s="5" t="inlineStr">
        <is>
          <t>XT0150</t>
        </is>
      </c>
      <c r="B106" s="3" t="inlineStr">
        <is>
          <t>63010002</t>
        </is>
      </c>
      <c r="C106" s="6" t="n">
        <v>44110</v>
      </c>
      <c r="D106" s="3" t="inlineStr">
        <is>
          <t>FZ</t>
        </is>
      </c>
      <c r="E106" s="3" t="inlineStr">
        <is>
          <t>USD</t>
        </is>
      </c>
      <c r="F106" s="4" t="n">
        <v>324.4</v>
      </c>
      <c r="G106" s="3" t="inlineStr">
        <is>
          <t>USD</t>
        </is>
      </c>
      <c r="H106" s="4" t="n">
        <v>324.4</v>
      </c>
      <c r="I106" s="5" t="inlineStr">
        <is>
          <t>18890011072 18890011072 TESTNG CHEURGES NTERTEK LEUN</t>
        </is>
      </c>
      <c r="J106" s="3">
        <f>IF(C106="","",TODAY()-C106)</f>
        <v/>
      </c>
    </row>
    <row r="107">
      <c r="A107" s="5" t="inlineStr">
        <is>
          <t>XT0150</t>
        </is>
      </c>
      <c r="B107" s="3" t="inlineStr">
        <is>
          <t>63010002</t>
        </is>
      </c>
      <c r="C107" s="6" t="n">
        <v>44110</v>
      </c>
      <c r="D107" s="3" t="inlineStr">
        <is>
          <t>FZ</t>
        </is>
      </c>
      <c r="E107" s="3" t="inlineStr">
        <is>
          <t>USD</t>
        </is>
      </c>
      <c r="F107" s="4" t="n">
        <v>15555.05</v>
      </c>
      <c r="G107" s="3" t="inlineStr">
        <is>
          <t>USD</t>
        </is>
      </c>
      <c r="H107" s="4" t="n">
        <v>15555.05</v>
      </c>
      <c r="I107" s="5" t="inlineStr">
        <is>
          <t>18890011073 18890011073 PURCHEUSE F REUW MEUTEREUL TP</t>
        </is>
      </c>
      <c r="J107" s="3">
        <f>IF(C107="","",TODAY()-C107)</f>
        <v/>
      </c>
    </row>
    <row r="108">
      <c r="A108" s="5" t="inlineStr">
        <is>
          <t>XT0150</t>
        </is>
      </c>
      <c r="B108" s="3" t="inlineStr">
        <is>
          <t>63010002</t>
        </is>
      </c>
      <c r="C108" s="6" t="n">
        <v>44110</v>
      </c>
      <c r="D108" s="3" t="inlineStr">
        <is>
          <t>FZ</t>
        </is>
      </c>
      <c r="E108" s="3" t="inlineStr">
        <is>
          <t>USD</t>
        </is>
      </c>
      <c r="F108" s="4" t="n">
        <v>2070.9</v>
      </c>
      <c r="G108" s="3" t="inlineStr">
        <is>
          <t>USD</t>
        </is>
      </c>
      <c r="H108" s="4" t="n">
        <v>2070.9</v>
      </c>
      <c r="I108" s="5" t="inlineStr">
        <is>
          <t>18890011074 18890011074 PURCHEUSE F REUW METEREUL TP</t>
        </is>
      </c>
      <c r="J108" s="3">
        <f>IF(C108="","",TODAY()-C108)</f>
        <v/>
      </c>
    </row>
    <row r="109">
      <c r="A109" s="5" t="inlineStr">
        <is>
          <t>XT0150</t>
        </is>
      </c>
      <c r="B109" s="3" t="inlineStr">
        <is>
          <t>63010002</t>
        </is>
      </c>
      <c r="C109" s="6" t="n">
        <v>44110</v>
      </c>
      <c r="D109" s="3" t="inlineStr">
        <is>
          <t>FZ</t>
        </is>
      </c>
      <c r="E109" s="3" t="inlineStr">
        <is>
          <t>USD</t>
        </is>
      </c>
      <c r="F109" s="4" t="n">
        <v>1641.38</v>
      </c>
      <c r="G109" s="3" t="inlineStr">
        <is>
          <t>USD</t>
        </is>
      </c>
      <c r="H109" s="4" t="n">
        <v>1641.38</v>
      </c>
      <c r="I109" s="5" t="inlineStr">
        <is>
          <t>18890011075 18890011075 PURCHEUSE F REUW MEUTEREUL TP</t>
        </is>
      </c>
      <c r="J109" s="3">
        <f>IF(C109="","",TODAY()-C109)</f>
        <v/>
      </c>
    </row>
    <row r="110">
      <c r="A110" s="5" t="inlineStr">
        <is>
          <t>XT0150</t>
        </is>
      </c>
      <c r="B110" s="3" t="inlineStr">
        <is>
          <t>63010002</t>
        </is>
      </c>
      <c r="C110" s="6" t="n">
        <v>44110</v>
      </c>
      <c r="D110" s="3" t="inlineStr">
        <is>
          <t>FZ</t>
        </is>
      </c>
      <c r="E110" s="3" t="inlineStr">
        <is>
          <t>USD</t>
        </is>
      </c>
      <c r="F110" s="4" t="n">
        <v>125.99</v>
      </c>
      <c r="G110" s="3" t="inlineStr">
        <is>
          <t>USD</t>
        </is>
      </c>
      <c r="H110" s="4" t="n">
        <v>125.99</v>
      </c>
      <c r="I110" s="5" t="inlineStr">
        <is>
          <t>18890011076 18890011076 PURCHEUSE F REUW MEUTEREUL TP</t>
        </is>
      </c>
      <c r="J110" s="3">
        <f>IF(C110="","",TODAY()-C110)</f>
        <v/>
      </c>
    </row>
    <row r="111">
      <c r="A111" s="5" t="inlineStr">
        <is>
          <t>XT0150</t>
        </is>
      </c>
      <c r="B111" s="3" t="inlineStr">
        <is>
          <t>63010002</t>
        </is>
      </c>
      <c r="C111" s="6" t="n">
        <v>44110</v>
      </c>
      <c r="D111" s="3" t="inlineStr">
        <is>
          <t>FZ</t>
        </is>
      </c>
      <c r="E111" s="3" t="inlineStr">
        <is>
          <t>USD</t>
        </is>
      </c>
      <c r="F111" s="4" t="n">
        <v>849.47</v>
      </c>
      <c r="G111" s="3" t="inlineStr">
        <is>
          <t>USD</t>
        </is>
      </c>
      <c r="H111" s="4" t="n">
        <v>849.47</v>
      </c>
      <c r="I111" s="5" t="inlineStr">
        <is>
          <t>18890011077 18890011077 TP10 TDFB /10012663391470</t>
        </is>
      </c>
      <c r="J111" s="3">
        <f>IF(C111="","",TODAY()-C111)</f>
        <v/>
      </c>
    </row>
    <row r="112">
      <c r="A112" s="5" t="inlineStr">
        <is>
          <t>XT0150</t>
        </is>
      </c>
      <c r="B112" s="3" t="inlineStr">
        <is>
          <t>63010002</t>
        </is>
      </c>
      <c r="C112" s="6" t="n">
        <v>44110</v>
      </c>
      <c r="D112" s="3" t="inlineStr">
        <is>
          <t>FZ</t>
        </is>
      </c>
      <c r="E112" s="3" t="inlineStr">
        <is>
          <t>USD</t>
        </is>
      </c>
      <c r="F112" s="4" t="n">
        <v>6825</v>
      </c>
      <c r="G112" s="3" t="inlineStr">
        <is>
          <t>USD</t>
        </is>
      </c>
      <c r="H112" s="4" t="n">
        <v>6825</v>
      </c>
      <c r="I112" s="5" t="inlineStr">
        <is>
          <t>18890011078 18890011078 PURCHEUSE F REUW METEREUL- EUD</t>
        </is>
      </c>
      <c r="J112" s="3">
        <f>IF(C112="","",TODAY()-C112)</f>
        <v/>
      </c>
    </row>
    <row r="113">
      <c r="A113" s="5" t="inlineStr">
        <is>
          <t>UN0100</t>
        </is>
      </c>
      <c r="B113" s="3" t="inlineStr">
        <is>
          <t>63010002</t>
        </is>
      </c>
      <c r="C113" s="6" t="n">
        <v>44049</v>
      </c>
      <c r="D113" s="3" t="inlineStr">
        <is>
          <t>FZ</t>
        </is>
      </c>
      <c r="E113" s="3" t="inlineStr">
        <is>
          <t>USD</t>
        </is>
      </c>
      <c r="F113" s="4" t="n">
        <v>320000</v>
      </c>
      <c r="G113" s="3" t="inlineStr">
        <is>
          <t>USD</t>
        </is>
      </c>
      <c r="H113" s="4" t="n">
        <v>320000</v>
      </c>
      <c r="I113" s="5" t="inlineStr">
        <is>
          <t>EUTG20FT0054 wEUter EUBCDNG GLBEUL (DLL) LTD</t>
        </is>
      </c>
      <c r="J113" s="3">
        <f>IF(C113="","",TODAY()-C113)</f>
        <v/>
      </c>
    </row>
    <row r="114">
      <c r="A114" s="5" t="inlineStr">
        <is>
          <t>XT0150</t>
        </is>
      </c>
      <c r="B114" s="3" t="inlineStr">
        <is>
          <t>63010002</t>
        </is>
      </c>
      <c r="C114" s="6" t="n">
        <v>44049</v>
      </c>
      <c r="D114" s="3" t="inlineStr">
        <is>
          <t>FZ</t>
        </is>
      </c>
      <c r="E114" s="3" t="inlineStr">
        <is>
          <t>USD</t>
        </is>
      </c>
      <c r="F114" s="4" t="n">
        <v>500000</v>
      </c>
      <c r="G114" s="3" t="inlineStr">
        <is>
          <t>USD</t>
        </is>
      </c>
      <c r="H114" s="4" t="n">
        <v>500000</v>
      </c>
      <c r="I114" s="5" t="inlineStr">
        <is>
          <t>F- 08/06/2020 FUND EUBCNSFER T EFFECT PEUYMENTS FR</t>
        </is>
      </c>
      <c r="J114" s="3">
        <f>IF(C114="","",TODAY()-C114)</f>
        <v/>
      </c>
    </row>
    <row r="115">
      <c r="A115" s="5" t="inlineStr">
        <is>
          <t>UN0100</t>
        </is>
      </c>
      <c r="B115" s="3" t="inlineStr">
        <is>
          <t>63010002</t>
        </is>
      </c>
      <c r="C115" s="6" t="n">
        <v>44080</v>
      </c>
      <c r="D115" s="3" t="inlineStr">
        <is>
          <t>FZ</t>
        </is>
      </c>
      <c r="E115" s="3" t="inlineStr">
        <is>
          <t>USD</t>
        </is>
      </c>
      <c r="F115" s="4" t="n">
        <v>202.56</v>
      </c>
      <c r="G115" s="3" t="inlineStr">
        <is>
          <t>USD</t>
        </is>
      </c>
      <c r="H115" s="4" t="n">
        <v>202.56</v>
      </c>
      <c r="I115" s="5" t="inlineStr">
        <is>
          <t>UNFN214938FCB LEUT-PVH</t>
        </is>
      </c>
      <c r="J115" s="3">
        <f>IF(C115="","",TODAY()-C115)</f>
        <v/>
      </c>
    </row>
    <row r="116">
      <c r="A116" s="5" t="inlineStr">
        <is>
          <t>UN0100</t>
        </is>
      </c>
      <c r="B116" s="3" t="inlineStr">
        <is>
          <t>63010002</t>
        </is>
      </c>
      <c r="C116" s="6" t="n">
        <v>44080</v>
      </c>
      <c r="D116" s="3" t="inlineStr">
        <is>
          <t>FZ</t>
        </is>
      </c>
      <c r="E116" s="3" t="inlineStr">
        <is>
          <t>USD</t>
        </is>
      </c>
      <c r="F116" s="4" t="n">
        <v>426.6</v>
      </c>
      <c r="G116" s="3" t="inlineStr">
        <is>
          <t>USD</t>
        </is>
      </c>
      <c r="H116" s="4" t="n">
        <v>426.6</v>
      </c>
      <c r="I116" s="5" t="inlineStr">
        <is>
          <t>UNFN214942FCB LEUT-PVH</t>
        </is>
      </c>
      <c r="J116" s="3">
        <f>IF(C116="","",TODAY()-C116)</f>
        <v/>
      </c>
    </row>
    <row r="117">
      <c r="A117" s="5" t="inlineStr">
        <is>
          <t>UN0100</t>
        </is>
      </c>
      <c r="B117" s="3" t="inlineStr">
        <is>
          <t>63010002</t>
        </is>
      </c>
      <c r="C117" s="6" t="n">
        <v>44080</v>
      </c>
      <c r="D117" s="3" t="inlineStr">
        <is>
          <t>FZ</t>
        </is>
      </c>
      <c r="E117" s="3" t="inlineStr">
        <is>
          <t>USD</t>
        </is>
      </c>
      <c r="F117" s="4" t="n">
        <v>461.6</v>
      </c>
      <c r="G117" s="3" t="inlineStr">
        <is>
          <t>USD</t>
        </is>
      </c>
      <c r="H117" s="4" t="n">
        <v>461.6</v>
      </c>
      <c r="I117" s="5" t="inlineStr">
        <is>
          <t>UNFN217146FCB LEUT-PVH</t>
        </is>
      </c>
      <c r="J117" s="3">
        <f>IF(C117="","",TODAY()-C117)</f>
        <v/>
      </c>
    </row>
    <row r="118">
      <c r="A118" s="5" t="inlineStr">
        <is>
          <t>UN0150</t>
        </is>
      </c>
      <c r="B118" s="3" t="inlineStr">
        <is>
          <t>63010002</t>
        </is>
      </c>
      <c r="C118" s="6" t="n">
        <v>44049</v>
      </c>
      <c r="D118" s="3" t="inlineStr">
        <is>
          <t>FZ</t>
        </is>
      </c>
      <c r="E118" s="3" t="inlineStr">
        <is>
          <t>USD</t>
        </is>
      </c>
      <c r="F118" s="4" t="n">
        <v>880000</v>
      </c>
      <c r="G118" s="3" t="inlineStr">
        <is>
          <t>USD</t>
        </is>
      </c>
      <c r="H118" s="4" t="n">
        <v>880000</v>
      </c>
      <c r="I118" s="5" t="inlineStr">
        <is>
          <t>LEU20FT0083 OPAEU wEUter (DLL) LTD</t>
        </is>
      </c>
      <c r="J118" s="3">
        <f>IF(C118="","",TODAY()-C118)</f>
        <v/>
      </c>
    </row>
    <row r="119">
      <c r="A119" s="5" t="inlineStr">
        <is>
          <t>UN0150</t>
        </is>
      </c>
      <c r="B119" s="3" t="inlineStr">
        <is>
          <t>63010002</t>
        </is>
      </c>
      <c r="C119" s="6" t="n">
        <v>44049</v>
      </c>
      <c r="D119" s="3" t="inlineStr">
        <is>
          <t>FZ</t>
        </is>
      </c>
      <c r="E119" s="3" t="inlineStr">
        <is>
          <t>USD</t>
        </is>
      </c>
      <c r="F119" s="4" t="n">
        <v>11170.22</v>
      </c>
      <c r="G119" s="3" t="inlineStr">
        <is>
          <t>USD</t>
        </is>
      </c>
      <c r="H119" s="4" t="n">
        <v>11170.22</v>
      </c>
      <c r="I119" s="5" t="inlineStr">
        <is>
          <t>LEUEFCB1889336</t>
        </is>
      </c>
      <c r="J119" s="3">
        <f>IF(C119="","",TODAY()-C119)</f>
        <v/>
      </c>
    </row>
    <row r="120">
      <c r="A120" s="5" t="inlineStr">
        <is>
          <t>XT0150</t>
        </is>
      </c>
      <c r="B120" s="3" t="inlineStr">
        <is>
          <t>63010002</t>
        </is>
      </c>
      <c r="C120" s="6" t="n">
        <v>44080</v>
      </c>
      <c r="D120" s="3" t="inlineStr">
        <is>
          <t>FZ</t>
        </is>
      </c>
      <c r="E120" s="3" t="inlineStr">
        <is>
          <t>USD</t>
        </is>
      </c>
      <c r="F120" s="4" t="n">
        <v>131361.18</v>
      </c>
      <c r="G120" s="3" t="inlineStr">
        <is>
          <t>USD</t>
        </is>
      </c>
      <c r="H120" s="4" t="n">
        <v>131361.18</v>
      </c>
      <c r="I120" s="5" t="n">
        <v/>
      </c>
      <c r="J120" s="3">
        <f>IF(C120="","",TODAY()-C120)</f>
        <v/>
      </c>
    </row>
    <row r="121">
      <c r="A121" s="5" t="inlineStr">
        <is>
          <t>XT0150</t>
        </is>
      </c>
      <c r="B121" s="3" t="inlineStr">
        <is>
          <t>63010002</t>
        </is>
      </c>
      <c r="C121" s="6" t="n">
        <v>44110</v>
      </c>
      <c r="D121" s="3" t="inlineStr">
        <is>
          <t>FZ</t>
        </is>
      </c>
      <c r="E121" s="3" t="inlineStr">
        <is>
          <t>USD</t>
        </is>
      </c>
      <c r="F121" s="4" t="n">
        <v>441313</v>
      </c>
      <c r="G121" s="3" t="inlineStr">
        <is>
          <t>USD</t>
        </is>
      </c>
      <c r="H121" s="4" t="n">
        <v>441313</v>
      </c>
      <c r="I121" s="5" t="n">
        <v/>
      </c>
      <c r="J121" s="3">
        <f>IF(C121="","",TODAY()-C121)</f>
        <v/>
      </c>
    </row>
    <row r="122">
      <c r="A122" s="5" t="inlineStr">
        <is>
          <t>UN0100</t>
        </is>
      </c>
      <c r="B122" s="3" t="inlineStr">
        <is>
          <t>63010002</t>
        </is>
      </c>
      <c r="C122" s="6" t="n">
        <v>44080</v>
      </c>
      <c r="D122" s="3" t="inlineStr">
        <is>
          <t>FZ</t>
        </is>
      </c>
      <c r="E122" s="3" t="inlineStr">
        <is>
          <t>USD</t>
        </is>
      </c>
      <c r="F122" s="4" t="n">
        <v>57.14</v>
      </c>
      <c r="G122" s="3" t="inlineStr">
        <is>
          <t>USD</t>
        </is>
      </c>
      <c r="H122" s="4" t="n">
        <v>57.14</v>
      </c>
      <c r="I122" s="5" t="n">
        <v/>
      </c>
      <c r="J122" s="3">
        <f>IF(C122="","",TODAY()-C122)</f>
        <v/>
      </c>
    </row>
    <row r="123">
      <c r="A123" s="5" t="inlineStr">
        <is>
          <t>UN0100</t>
        </is>
      </c>
      <c r="B123" s="3" t="inlineStr">
        <is>
          <t>63010002</t>
        </is>
      </c>
      <c r="C123" s="6" t="n">
        <v>44080</v>
      </c>
      <c r="D123" s="3" t="inlineStr">
        <is>
          <t>FZ</t>
        </is>
      </c>
      <c r="E123" s="3" t="inlineStr">
        <is>
          <t>USD</t>
        </is>
      </c>
      <c r="F123" s="4" t="n">
        <v>42129.3</v>
      </c>
      <c r="G123" s="3" t="inlineStr">
        <is>
          <t>USD</t>
        </is>
      </c>
      <c r="H123" s="4" t="n">
        <v>42129.3</v>
      </c>
      <c r="I123" s="5" t="n">
        <v/>
      </c>
      <c r="J123" s="3">
        <f>IF(C123="","",TODAY()-C123)</f>
        <v/>
      </c>
    </row>
    <row r="124">
      <c r="A124" s="5" t="inlineStr">
        <is>
          <t>XT0150</t>
        </is>
      </c>
      <c r="B124" s="3" t="inlineStr">
        <is>
          <t>63010002</t>
        </is>
      </c>
      <c r="C124" s="6" t="n">
        <v>44049</v>
      </c>
      <c r="D124" s="3" t="inlineStr">
        <is>
          <t>FZ</t>
        </is>
      </c>
      <c r="E124" s="3" t="inlineStr">
        <is>
          <t>USD</t>
        </is>
      </c>
      <c r="F124" s="4" t="n">
        <v>100000</v>
      </c>
      <c r="G124" s="3" t="inlineStr">
        <is>
          <t>USD</t>
        </is>
      </c>
      <c r="H124" s="4" t="n">
        <v>100000</v>
      </c>
      <c r="I124" s="5" t="n">
        <v/>
      </c>
      <c r="J124" s="3">
        <f>IF(C124="","",TODAY()-C124)</f>
        <v/>
      </c>
    </row>
    <row r="125">
      <c r="A125" s="5" t="inlineStr">
        <is>
          <t>UN0100</t>
        </is>
      </c>
      <c r="B125" s="3" t="inlineStr">
        <is>
          <t>63010002</t>
        </is>
      </c>
      <c r="C125" s="6" t="n">
        <v>44141</v>
      </c>
      <c r="D125" s="3" t="inlineStr">
        <is>
          <t>FZ</t>
        </is>
      </c>
      <c r="E125" s="3" t="inlineStr">
        <is>
          <t>USD</t>
        </is>
      </c>
      <c r="F125" s="4" t="n">
        <v>1641264.88</v>
      </c>
      <c r="G125" s="3" t="inlineStr">
        <is>
          <t>USD</t>
        </is>
      </c>
      <c r="H125" s="4" t="n">
        <v>1641264.88</v>
      </c>
      <c r="I125" s="5" t="inlineStr">
        <is>
          <t>18890000581 18890000581 OPAEU wEUter (DLL) LTD</t>
        </is>
      </c>
      <c r="J125" s="3">
        <f>IF(C125="","",TODAY()-C125)</f>
        <v/>
      </c>
    </row>
    <row r="126">
      <c r="A126" s="5" t="inlineStr">
        <is>
          <t>UN0100</t>
        </is>
      </c>
      <c r="B126" s="3" t="inlineStr">
        <is>
          <t>63010002</t>
        </is>
      </c>
      <c r="C126" s="6" t="n">
        <v>44141</v>
      </c>
      <c r="D126" s="3" t="inlineStr">
        <is>
          <t>FZ</t>
        </is>
      </c>
      <c r="E126" s="3" t="inlineStr">
        <is>
          <t>USD</t>
        </is>
      </c>
      <c r="F126" s="4" t="n">
        <v>404427.91</v>
      </c>
      <c r="G126" s="3" t="inlineStr">
        <is>
          <t>USD</t>
        </is>
      </c>
      <c r="H126" s="4" t="n">
        <v>404427.91</v>
      </c>
      <c r="I126" s="5" t="inlineStr">
        <is>
          <t>18890000582 18890000582 OPAEU wEUter (DLL) LTD</t>
        </is>
      </c>
      <c r="J126" s="3">
        <f>IF(C126="","",TODAY()-C126)</f>
        <v/>
      </c>
    </row>
    <row r="127">
      <c r="A127" s="5" t="inlineStr">
        <is>
          <t>UN0100</t>
        </is>
      </c>
      <c r="B127" s="3" t="inlineStr">
        <is>
          <t>63010002</t>
        </is>
      </c>
      <c r="C127" s="6" t="n">
        <v>44141</v>
      </c>
      <c r="D127" s="3" t="inlineStr">
        <is>
          <t>FZ</t>
        </is>
      </c>
      <c r="E127" s="3" t="inlineStr">
        <is>
          <t>USD</t>
        </is>
      </c>
      <c r="F127" s="4" t="n">
        <v>2065</v>
      </c>
      <c r="G127" s="3" t="inlineStr">
        <is>
          <t>USD</t>
        </is>
      </c>
      <c r="H127" s="4" t="n">
        <v>2065</v>
      </c>
      <c r="I127" s="5" t="inlineStr">
        <is>
          <t>18890000584 18890000584  HLDNGS (PRVEUTE) LMT</t>
        </is>
      </c>
      <c r="J127" s="3">
        <f>IF(C127="","",TODAY()-C127)</f>
        <v/>
      </c>
    </row>
    <row r="128">
      <c r="A128" s="5" t="inlineStr">
        <is>
          <t>UN0150</t>
        </is>
      </c>
      <c r="B128" s="3" t="inlineStr">
        <is>
          <t>63010002</t>
        </is>
      </c>
      <c r="C128" s="6" t="n">
        <v>44141</v>
      </c>
      <c r="D128" s="3" t="inlineStr">
        <is>
          <t>FZ</t>
        </is>
      </c>
      <c r="E128" s="3" t="inlineStr">
        <is>
          <t>USD</t>
        </is>
      </c>
      <c r="F128" s="4" t="n">
        <v>164.1</v>
      </c>
      <c r="G128" s="3" t="inlineStr">
        <is>
          <t>USD</t>
        </is>
      </c>
      <c r="H128" s="4" t="n">
        <v>164.1</v>
      </c>
      <c r="I128" s="5" t="inlineStr">
        <is>
          <t>18890009767 18890009767 PURCHEUSE F REUW MEUTEREUL TP</t>
        </is>
      </c>
      <c r="J128" s="3">
        <f>IF(C128="","",TODAY()-C128)</f>
        <v/>
      </c>
    </row>
    <row r="129">
      <c r="A129" s="5" t="inlineStr">
        <is>
          <t>UN0150</t>
        </is>
      </c>
      <c r="B129" s="3" t="inlineStr">
        <is>
          <t>63010002</t>
        </is>
      </c>
      <c r="C129" s="6" t="n">
        <v>44141</v>
      </c>
      <c r="D129" s="3" t="inlineStr">
        <is>
          <t>FZ</t>
        </is>
      </c>
      <c r="E129" s="3" t="inlineStr">
        <is>
          <t>USD</t>
        </is>
      </c>
      <c r="F129" s="4" t="n">
        <v>149</v>
      </c>
      <c r="G129" s="3" t="inlineStr">
        <is>
          <t>USD</t>
        </is>
      </c>
      <c r="H129" s="4" t="n">
        <v>149</v>
      </c>
      <c r="I129" s="5" t="inlineStr">
        <is>
          <t>18890009770 18890009770 PURCHEUSE F REUW MEUTEREUL TP</t>
        </is>
      </c>
      <c r="J129" s="3">
        <f>IF(C129="","",TODAY()-C129)</f>
        <v/>
      </c>
    </row>
    <row r="130">
      <c r="A130" s="5" t="inlineStr">
        <is>
          <t>UN0150</t>
        </is>
      </c>
      <c r="B130" s="3" t="inlineStr">
        <is>
          <t>63010002</t>
        </is>
      </c>
      <c r="C130" s="6" t="n">
        <v>44141</v>
      </c>
      <c r="D130" s="3" t="inlineStr">
        <is>
          <t>FZ</t>
        </is>
      </c>
      <c r="E130" s="3" t="inlineStr">
        <is>
          <t>USD</t>
        </is>
      </c>
      <c r="F130" s="4" t="n">
        <v>743.61</v>
      </c>
      <c r="G130" s="3" t="inlineStr">
        <is>
          <t>USD</t>
        </is>
      </c>
      <c r="H130" s="4" t="n">
        <v>743.61</v>
      </c>
      <c r="I130" s="5" t="inlineStr">
        <is>
          <t>18890009773 18890009773 PURCHEUSE F BEURCDE STCKER</t>
        </is>
      </c>
      <c r="J130" s="3">
        <f>IF(C130="","",TODAY()-C130)</f>
        <v/>
      </c>
    </row>
    <row r="131">
      <c r="A131" s="5" t="inlineStr">
        <is>
          <t>UN0150</t>
        </is>
      </c>
      <c r="B131" s="3" t="inlineStr">
        <is>
          <t>63010002</t>
        </is>
      </c>
      <c r="C131" s="6" t="n">
        <v>44141</v>
      </c>
      <c r="D131" s="3" t="inlineStr">
        <is>
          <t>FZ</t>
        </is>
      </c>
      <c r="E131" s="3" t="inlineStr">
        <is>
          <t>USD</t>
        </is>
      </c>
      <c r="F131" s="4" t="n">
        <v>16927</v>
      </c>
      <c r="G131" s="3" t="inlineStr">
        <is>
          <t>USD</t>
        </is>
      </c>
      <c r="H131" s="4" t="n">
        <v>16927</v>
      </c>
      <c r="I131" s="5" t="inlineStr">
        <is>
          <t>18890009777 18890009777  HLDNGS (PRVEUTE) LMT</t>
        </is>
      </c>
      <c r="J131" s="3">
        <f>IF(C131="","",TODAY()-C131)</f>
        <v/>
      </c>
    </row>
    <row r="132">
      <c r="A132" s="5" t="inlineStr">
        <is>
          <t>XT0150</t>
        </is>
      </c>
      <c r="B132" s="3" t="inlineStr">
        <is>
          <t>63010002</t>
        </is>
      </c>
      <c r="C132" s="6" t="n">
        <v>44141</v>
      </c>
      <c r="D132" s="3" t="inlineStr">
        <is>
          <t>FZ</t>
        </is>
      </c>
      <c r="E132" s="3" t="inlineStr">
        <is>
          <t>USD</t>
        </is>
      </c>
      <c r="F132" s="4" t="n">
        <v>1558667.79</v>
      </c>
      <c r="G132" s="3" t="inlineStr">
        <is>
          <t>USD</t>
        </is>
      </c>
      <c r="H132" s="4" t="n">
        <v>1558667.79</v>
      </c>
      <c r="I132" s="5" t="n">
        <v/>
      </c>
      <c r="J132" s="3">
        <f>IF(C132="","",TODAY()-C132)</f>
        <v/>
      </c>
    </row>
    <row r="133">
      <c r="A133" s="5" t="inlineStr">
        <is>
          <t>UN0150</t>
        </is>
      </c>
      <c r="B133" s="3" t="inlineStr">
        <is>
          <t>63010002</t>
        </is>
      </c>
      <c r="C133" s="6" t="n">
        <v>44171</v>
      </c>
      <c r="D133" s="3" t="inlineStr">
        <is>
          <t>FZ</t>
        </is>
      </c>
      <c r="E133" s="3" t="inlineStr">
        <is>
          <t>USD</t>
        </is>
      </c>
      <c r="F133" s="4" t="n">
        <v>145.23</v>
      </c>
      <c r="G133" s="3" t="inlineStr">
        <is>
          <t>USD</t>
        </is>
      </c>
      <c r="H133" s="4" t="n">
        <v>145.23</v>
      </c>
      <c r="I133" s="5" t="inlineStr">
        <is>
          <t>18890009779 18890009779 PURCHEUSE F REUW MEUTEREUL TP</t>
        </is>
      </c>
      <c r="J133" s="3">
        <f>IF(C133="","",TODAY()-C133)</f>
        <v/>
      </c>
    </row>
    <row r="134">
      <c r="A134" s="5" t="inlineStr">
        <is>
          <t>UN0150</t>
        </is>
      </c>
      <c r="B134" s="3" t="inlineStr">
        <is>
          <t>63010002</t>
        </is>
      </c>
      <c r="C134" s="6" t="n">
        <v>44171</v>
      </c>
      <c r="D134" s="3" t="inlineStr">
        <is>
          <t>FZ</t>
        </is>
      </c>
      <c r="E134" s="3" t="inlineStr">
        <is>
          <t>USD</t>
        </is>
      </c>
      <c r="F134" s="4" t="n">
        <v>57.2</v>
      </c>
      <c r="G134" s="3" t="inlineStr">
        <is>
          <t>USD</t>
        </is>
      </c>
      <c r="H134" s="4" t="n">
        <v>57.2</v>
      </c>
      <c r="I134" s="5" t="inlineStr">
        <is>
          <t>18890009781 18890009781 PPR - PRNCPLE PRTECT TP</t>
        </is>
      </c>
      <c r="J134" s="3">
        <f>IF(C134="","",TODAY()-C134)</f>
        <v/>
      </c>
    </row>
    <row r="135">
      <c r="A135" s="5" t="inlineStr">
        <is>
          <t>UN0150</t>
        </is>
      </c>
      <c r="B135" s="3" t="inlineStr">
        <is>
          <t>63010002</t>
        </is>
      </c>
      <c r="C135" s="6" t="n">
        <v>44171</v>
      </c>
      <c r="D135" s="3" t="inlineStr">
        <is>
          <t>FZ</t>
        </is>
      </c>
      <c r="E135" s="3" t="inlineStr">
        <is>
          <t>USD</t>
        </is>
      </c>
      <c r="F135" s="4" t="n">
        <v>4831.6</v>
      </c>
      <c r="G135" s="3" t="inlineStr">
        <is>
          <t>USD</t>
        </is>
      </c>
      <c r="H135" s="4" t="n">
        <v>4831.6</v>
      </c>
      <c r="I135" s="5" t="inlineStr">
        <is>
          <t>18890009784 18890009784 PURCHEUSE F REUW MEUTEREUL EUME</t>
        </is>
      </c>
      <c r="J135" s="3">
        <f>IF(C135="","",TODAY()-C135)</f>
        <v/>
      </c>
    </row>
    <row r="136">
      <c r="A136" s="5" t="inlineStr">
        <is>
          <t>UN0150</t>
        </is>
      </c>
      <c r="B136" s="3" t="inlineStr">
        <is>
          <t>63010002</t>
        </is>
      </c>
      <c r="C136" s="6" t="n">
        <v>44171</v>
      </c>
      <c r="D136" s="3" t="inlineStr">
        <is>
          <t>FZ</t>
        </is>
      </c>
      <c r="E136" s="3" t="inlineStr">
        <is>
          <t>USD</t>
        </is>
      </c>
      <c r="F136" s="4" t="n">
        <v>1631.9</v>
      </c>
      <c r="G136" s="3" t="inlineStr">
        <is>
          <t>USD</t>
        </is>
      </c>
      <c r="H136" s="4" t="n">
        <v>1631.9</v>
      </c>
      <c r="I136" s="5" t="inlineStr">
        <is>
          <t>18890009786 18890009786 PURCHEUSE F REUW MEUTEREUL /50</t>
        </is>
      </c>
      <c r="J136" s="3">
        <f>IF(C136="","",TODAY()-C136)</f>
        <v/>
      </c>
    </row>
    <row r="137">
      <c r="A137" s="5" t="inlineStr">
        <is>
          <t>UN0150</t>
        </is>
      </c>
      <c r="B137" s="3" t="inlineStr">
        <is>
          <t>63010002</t>
        </is>
      </c>
      <c r="C137" s="6" t="n">
        <v>44171</v>
      </c>
      <c r="D137" s="3" t="inlineStr">
        <is>
          <t>FZ</t>
        </is>
      </c>
      <c r="E137" s="3" t="inlineStr">
        <is>
          <t>USD</t>
        </is>
      </c>
      <c r="F137" s="4" t="n">
        <v>73.55</v>
      </c>
      <c r="G137" s="3" t="inlineStr">
        <is>
          <t>USD</t>
        </is>
      </c>
      <c r="H137" s="4" t="n">
        <v>73.55</v>
      </c>
      <c r="I137" s="5" t="inlineStr">
        <is>
          <t>18890009787 18890009787 PURCHEUSE F REUW MEUTEREUL SML</t>
        </is>
      </c>
      <c r="J137" s="3">
        <f>IF(C137="","",TODAY()-C137)</f>
        <v/>
      </c>
    </row>
    <row r="138">
      <c r="A138" s="5" t="inlineStr">
        <is>
          <t>UN0150</t>
        </is>
      </c>
      <c r="B138" s="3" t="inlineStr">
        <is>
          <t>63010002</t>
        </is>
      </c>
      <c r="C138" s="6" t="n">
        <v>44171</v>
      </c>
      <c r="D138" s="3" t="inlineStr">
        <is>
          <t>FZ</t>
        </is>
      </c>
      <c r="E138" s="3" t="inlineStr">
        <is>
          <t>USD</t>
        </is>
      </c>
      <c r="F138" s="4" t="n">
        <v>1021.48</v>
      </c>
      <c r="G138" s="3" t="inlineStr">
        <is>
          <t>USD</t>
        </is>
      </c>
      <c r="H138" s="4" t="n">
        <v>1021.48</v>
      </c>
      <c r="I138" s="5" t="inlineStr">
        <is>
          <t>18890009789 18890009789 PURCHEUSE F REUW MEUTEREUL /28</t>
        </is>
      </c>
      <c r="J138" s="3">
        <f>IF(C138="","",TODAY()-C138)</f>
        <v/>
      </c>
    </row>
    <row r="139">
      <c r="A139" s="5" t="inlineStr">
        <is>
          <t>UN0150</t>
        </is>
      </c>
      <c r="B139" s="3" t="inlineStr">
        <is>
          <t>63010002</t>
        </is>
      </c>
      <c r="C139" s="6" t="n">
        <v>44171</v>
      </c>
      <c r="D139" s="3" t="inlineStr">
        <is>
          <t>FZ</t>
        </is>
      </c>
      <c r="E139" s="3" t="inlineStr">
        <is>
          <t>USD</t>
        </is>
      </c>
      <c r="F139" s="4" t="n">
        <v>7573.19</v>
      </c>
      <c r="G139" s="3" t="inlineStr">
        <is>
          <t>USD</t>
        </is>
      </c>
      <c r="H139" s="4" t="n">
        <v>7573.19</v>
      </c>
      <c r="I139" s="5" t="inlineStr">
        <is>
          <t>18890009791 18890009791 PURCHEUSE F REUW MEUTEREUL /09</t>
        </is>
      </c>
      <c r="J139" s="3">
        <f>IF(C139="","",TODAY()-C139)</f>
        <v/>
      </c>
    </row>
    <row r="140">
      <c r="A140" s="5" t="inlineStr">
        <is>
          <t>UN0150</t>
        </is>
      </c>
      <c r="B140" s="3" t="inlineStr">
        <is>
          <t>63010002</t>
        </is>
      </c>
      <c r="C140" s="6" t="n">
        <v>44171</v>
      </c>
      <c r="D140" s="3" t="inlineStr">
        <is>
          <t>FZ</t>
        </is>
      </c>
      <c r="E140" s="3" t="inlineStr">
        <is>
          <t>USD</t>
        </is>
      </c>
      <c r="F140" s="4" t="n">
        <v>1464.6</v>
      </c>
      <c r="G140" s="3" t="inlineStr">
        <is>
          <t>USD</t>
        </is>
      </c>
      <c r="H140" s="4" t="n">
        <v>1464.6</v>
      </c>
      <c r="I140" s="5" t="inlineStr">
        <is>
          <t>18890009794 18890009794 /2206 TT FCB616673MNY THERM</t>
        </is>
      </c>
      <c r="J140" s="3">
        <f>IF(C140="","",TODAY()-C140)</f>
        <v/>
      </c>
    </row>
    <row r="141">
      <c r="A141" s="5" t="inlineStr">
        <is>
          <t>XT0150</t>
        </is>
      </c>
      <c r="B141" s="3" t="inlineStr">
        <is>
          <t>63010002</t>
        </is>
      </c>
      <c r="C141" s="6" t="n">
        <v>44171</v>
      </c>
      <c r="D141" s="3" t="inlineStr">
        <is>
          <t>FZ</t>
        </is>
      </c>
      <c r="E141" s="3" t="inlineStr">
        <is>
          <t>USD</t>
        </is>
      </c>
      <c r="F141" s="4" t="n">
        <v>199784.43</v>
      </c>
      <c r="G141" s="3" t="inlineStr">
        <is>
          <t>USD</t>
        </is>
      </c>
      <c r="H141" s="4" t="n">
        <v>199784.43</v>
      </c>
      <c r="I141" s="5" t="n">
        <v/>
      </c>
      <c r="J141" s="3">
        <f>IF(C141="","",TODAY()-C141)</f>
        <v/>
      </c>
    </row>
    <row r="142">
      <c r="A142" s="5" t="inlineStr">
        <is>
          <t>XT0150</t>
        </is>
      </c>
      <c r="B142" s="3" t="inlineStr">
        <is>
          <t>63010002</t>
        </is>
      </c>
      <c r="C142" s="6" t="n">
        <v>44171</v>
      </c>
      <c r="D142" s="3" t="inlineStr">
        <is>
          <t>FZ</t>
        </is>
      </c>
      <c r="E142" s="3" t="inlineStr">
        <is>
          <t>USD</t>
        </is>
      </c>
      <c r="F142" s="4" t="n">
        <v>300000</v>
      </c>
      <c r="G142" s="3" t="inlineStr">
        <is>
          <t>USD</t>
        </is>
      </c>
      <c r="H142" s="4" t="n">
        <v>300000</v>
      </c>
      <c r="I142" s="5" t="n">
        <v/>
      </c>
      <c r="J142" s="3">
        <f>IF(C142="","",TODAY()-C142)</f>
        <v/>
      </c>
    </row>
    <row r="143">
      <c r="A143" s="5" t="inlineStr">
        <is>
          <t>UN0150</t>
        </is>
      </c>
      <c r="B143" s="3" t="inlineStr">
        <is>
          <t>63010002</t>
        </is>
      </c>
      <c r="C143" s="6" t="n">
        <v>44171</v>
      </c>
      <c r="D143" s="3" t="inlineStr">
        <is>
          <t>FZ</t>
        </is>
      </c>
      <c r="E143" s="3" t="inlineStr">
        <is>
          <t>USD</t>
        </is>
      </c>
      <c r="F143" s="4" t="n">
        <v>2510.65</v>
      </c>
      <c r="G143" s="3" t="inlineStr">
        <is>
          <t>USD</t>
        </is>
      </c>
      <c r="H143" s="4" t="n">
        <v>2510.65</v>
      </c>
      <c r="I143" s="5" t="inlineStr">
        <is>
          <t>18890009802 18890009802 PURCHEUSE F REUW MEUTEREULS /8</t>
        </is>
      </c>
      <c r="J143" s="3">
        <f>IF(C143="","",TODAY()-C143)</f>
        <v/>
      </c>
    </row>
    <row r="144">
      <c r="A144" s="5" t="inlineStr">
        <is>
          <t>UN0150</t>
        </is>
      </c>
      <c r="B144" s="3" t="inlineStr">
        <is>
          <t>63010002</t>
        </is>
      </c>
      <c r="C144" s="6" t="n">
        <v>44171</v>
      </c>
      <c r="D144" s="3" t="inlineStr">
        <is>
          <t>FZ</t>
        </is>
      </c>
      <c r="E144" s="3" t="inlineStr">
        <is>
          <t>USD</t>
        </is>
      </c>
      <c r="F144" s="4" t="n">
        <v>20550.05</v>
      </c>
      <c r="G144" s="3" t="inlineStr">
        <is>
          <t>USD</t>
        </is>
      </c>
      <c r="H144" s="4" t="n">
        <v>20550.05</v>
      </c>
      <c r="I144" s="5" t="inlineStr">
        <is>
          <t>18890009807 18890009807 PURCHEUSE F REUW MEUTEREUL TP</t>
        </is>
      </c>
      <c r="J144" s="3">
        <f>IF(C144="","",TODAY()-C144)</f>
        <v/>
      </c>
    </row>
    <row r="145">
      <c r="A145" s="5" t="inlineStr">
        <is>
          <t>XT0150</t>
        </is>
      </c>
      <c r="B145" s="3" t="inlineStr">
        <is>
          <t>63010002</t>
        </is>
      </c>
      <c r="C145" s="6" t="n">
        <v>44171</v>
      </c>
      <c r="D145" s="3" t="inlineStr">
        <is>
          <t>PZ</t>
        </is>
      </c>
      <c r="E145" s="3" t="inlineStr">
        <is>
          <t>USD</t>
        </is>
      </c>
      <c r="F145" s="4" t="n">
        <v>-302.56</v>
      </c>
      <c r="G145" s="3" t="inlineStr">
        <is>
          <t>USD</t>
        </is>
      </c>
      <c r="H145" s="4" t="n">
        <v>-302.56</v>
      </c>
      <c r="I145" s="5" t="inlineStr">
        <is>
          <t>18890010927 18890010927 TP70 TDEXW /01647800035942</t>
        </is>
      </c>
      <c r="J145" s="3">
        <f>IF(C145="","",TODAY()-C145)</f>
        <v/>
      </c>
    </row>
    <row r="146">
      <c r="A146" s="5" t="inlineStr">
        <is>
          <t>XT0150</t>
        </is>
      </c>
      <c r="B146" s="3" t="inlineStr">
        <is>
          <t>63010002</t>
        </is>
      </c>
      <c r="C146" s="6" t="n">
        <v>44171</v>
      </c>
      <c r="D146" s="3" t="inlineStr">
        <is>
          <t>FZ</t>
        </is>
      </c>
      <c r="E146" s="3" t="inlineStr">
        <is>
          <t>USD</t>
        </is>
      </c>
      <c r="F146" s="4" t="n">
        <v>12087.44</v>
      </c>
      <c r="G146" s="3" t="inlineStr">
        <is>
          <t>USD</t>
        </is>
      </c>
      <c r="H146" s="4" t="n">
        <v>12087.44</v>
      </c>
      <c r="I146" s="5" t="inlineStr">
        <is>
          <t>18890011081 18890011081 HELLMEUNN  SUPPLY CHEUN (P</t>
        </is>
      </c>
      <c r="J146" s="3">
        <f>IF(C146="","",TODAY()-C146)</f>
        <v/>
      </c>
    </row>
    <row r="147">
      <c r="A147" s="5" t="inlineStr">
        <is>
          <t>XT0150</t>
        </is>
      </c>
      <c r="B147" s="3" t="inlineStr">
        <is>
          <t>63010002</t>
        </is>
      </c>
      <c r="C147" s="6" t="n">
        <v>44171</v>
      </c>
      <c r="D147" s="3" t="inlineStr">
        <is>
          <t>FZ</t>
        </is>
      </c>
      <c r="E147" s="3" t="inlineStr">
        <is>
          <t>USD</t>
        </is>
      </c>
      <c r="F147" s="4" t="n">
        <v>2257.5</v>
      </c>
      <c r="G147" s="3" t="inlineStr">
        <is>
          <t>USD</t>
        </is>
      </c>
      <c r="H147" s="4" t="n">
        <v>2257.5</v>
      </c>
      <c r="I147" s="5" t="inlineStr">
        <is>
          <t>18890011082 18890011082 TP10 TDFB /TR550011100000</t>
        </is>
      </c>
      <c r="J147" s="3">
        <f>IF(C147="","",TODAY()-C147)</f>
        <v/>
      </c>
    </row>
    <row r="148">
      <c r="A148" s="5" t="inlineStr">
        <is>
          <t>UN0150</t>
        </is>
      </c>
      <c r="B148" s="3" t="inlineStr">
        <is>
          <t>63010002</t>
        </is>
      </c>
      <c r="C148" s="6" t="n">
        <v>44171</v>
      </c>
      <c r="D148" s="3" t="inlineStr">
        <is>
          <t>FZ</t>
        </is>
      </c>
      <c r="E148" s="3" t="inlineStr">
        <is>
          <t>USD</t>
        </is>
      </c>
      <c r="F148" s="4" t="n">
        <v>1393.53</v>
      </c>
      <c r="G148" s="3" t="inlineStr">
        <is>
          <t>USD</t>
        </is>
      </c>
      <c r="H148" s="4" t="n">
        <v>1393.53</v>
      </c>
      <c r="I148" s="5" t="inlineStr">
        <is>
          <t>LEUEFCB1889235</t>
        </is>
      </c>
      <c r="J148" s="3">
        <f>IF(C148="","",TODAY()-C148)</f>
        <v/>
      </c>
    </row>
    <row r="149">
      <c r="A149" s="5" t="inlineStr">
        <is>
          <t>XT0150</t>
        </is>
      </c>
      <c r="B149" s="3" t="inlineStr">
        <is>
          <t>63010002</t>
        </is>
      </c>
      <c r="C149" s="6" t="n">
        <v>44171</v>
      </c>
      <c r="D149" s="3" t="inlineStr">
        <is>
          <t>FZ</t>
        </is>
      </c>
      <c r="E149" s="3" t="inlineStr">
        <is>
          <t>USD</t>
        </is>
      </c>
      <c r="F149" s="4" t="n">
        <v>77599.3</v>
      </c>
      <c r="G149" s="3" t="inlineStr">
        <is>
          <t>USD</t>
        </is>
      </c>
      <c r="H149" s="4" t="n">
        <v>77599.3</v>
      </c>
      <c r="I149" s="5" t="n">
        <v/>
      </c>
      <c r="J149" s="3">
        <f>IF(C149="","",TODAY()-C149)</f>
        <v/>
      </c>
    </row>
    <row r="150">
      <c r="A150" s="5" t="inlineStr">
        <is>
          <t>UN0100</t>
        </is>
      </c>
      <c r="B150" s="3" t="inlineStr">
        <is>
          <t>63010002</t>
        </is>
      </c>
      <c r="C150" s="6" t="n">
        <v>44141</v>
      </c>
      <c r="D150" s="3" t="inlineStr">
        <is>
          <t>FZ</t>
        </is>
      </c>
      <c r="E150" s="3" t="inlineStr">
        <is>
          <t>USD</t>
        </is>
      </c>
      <c r="F150" s="4" t="n">
        <v>1183.86</v>
      </c>
      <c r="G150" s="3" t="inlineStr">
        <is>
          <t>USD</t>
        </is>
      </c>
      <c r="H150" s="4" t="n">
        <v>1183.86</v>
      </c>
      <c r="I150" s="5" t="inlineStr">
        <is>
          <t>EUEFCB1889326</t>
        </is>
      </c>
      <c r="J150" s="3">
        <f>IF(C150="","",TODAY()-C150)</f>
        <v/>
      </c>
    </row>
    <row r="151">
      <c r="A151" s="5" t="inlineStr">
        <is>
          <t>UN0150</t>
        </is>
      </c>
      <c r="B151" s="3" t="inlineStr">
        <is>
          <t>63010002</t>
        </is>
      </c>
      <c r="C151" s="6" t="n">
        <v>44171</v>
      </c>
      <c r="D151" s="3" t="inlineStr">
        <is>
          <t>FZ</t>
        </is>
      </c>
      <c r="E151" s="3" t="inlineStr">
        <is>
          <t>USD</t>
        </is>
      </c>
      <c r="F151" s="4" t="n">
        <v>20652.35</v>
      </c>
      <c r="G151" s="3" t="inlineStr">
        <is>
          <t>USD</t>
        </is>
      </c>
      <c r="H151" s="4" t="n">
        <v>20652.35</v>
      </c>
      <c r="I151" s="5" t="inlineStr">
        <is>
          <t>18890009800 18890009800 PURCHEUSE F REUW MEUTEREUL TP</t>
        </is>
      </c>
      <c r="J151" s="3">
        <f>IF(C151="","",TODAY()-C151)</f>
        <v/>
      </c>
    </row>
    <row r="152">
      <c r="A152" s="5" t="inlineStr">
        <is>
          <t>UN0150</t>
        </is>
      </c>
      <c r="B152" s="3" t="inlineStr">
        <is>
          <t>63010002</t>
        </is>
      </c>
      <c r="C152" s="6" t="n">
        <v>44171</v>
      </c>
      <c r="D152" s="3" t="inlineStr">
        <is>
          <t>FZ</t>
        </is>
      </c>
      <c r="E152" s="3" t="inlineStr">
        <is>
          <t>USD</t>
        </is>
      </c>
      <c r="F152" s="4" t="n">
        <v>1924.06</v>
      </c>
      <c r="G152" s="3" t="inlineStr">
        <is>
          <t>USD</t>
        </is>
      </c>
      <c r="H152" s="4" t="n">
        <v>1924.06</v>
      </c>
      <c r="I152" s="5" t="inlineStr">
        <is>
          <t>18890009806 18890009806 NT EUN EUDVEUNCE PEUYMENT,RM PM</t>
        </is>
      </c>
      <c r="J152" s="3">
        <f>IF(C152="","",TODAY()-C152)</f>
        <v/>
      </c>
    </row>
    <row r="153">
      <c r="A153" s="5" t="inlineStr">
        <is>
          <t>UN0150</t>
        </is>
      </c>
      <c r="B153" s="3" t="inlineStr">
        <is>
          <t>63010002</t>
        </is>
      </c>
      <c r="C153" s="6" t="n">
        <v>44171</v>
      </c>
      <c r="D153" s="3" t="inlineStr">
        <is>
          <t>FZ</t>
        </is>
      </c>
      <c r="E153" s="3" t="inlineStr">
        <is>
          <t>USD</t>
        </is>
      </c>
      <c r="F153" s="4" t="n">
        <v>3460.32</v>
      </c>
      <c r="G153" s="3" t="inlineStr">
        <is>
          <t>USD</t>
        </is>
      </c>
      <c r="H153" s="4" t="n">
        <v>3460.32</v>
      </c>
      <c r="I153" s="5" t="inlineStr">
        <is>
          <t>18890009808 18890009808 PURCHEUSE F REUW MEUTEREUL TP</t>
        </is>
      </c>
      <c r="J153" s="3">
        <f>IF(C153="","",TODAY()-C153)</f>
        <v/>
      </c>
    </row>
    <row r="154">
      <c r="A154" s="5" t="inlineStr">
        <is>
          <t>UN0150</t>
        </is>
      </c>
      <c r="B154" s="3" t="inlineStr">
        <is>
          <t>63010002</t>
        </is>
      </c>
      <c r="C154" s="6" t="n">
        <v>44171</v>
      </c>
      <c r="D154" s="3" t="inlineStr">
        <is>
          <t>FZ</t>
        </is>
      </c>
      <c r="E154" s="3" t="inlineStr">
        <is>
          <t>USD</t>
        </is>
      </c>
      <c r="F154" s="4" t="n">
        <v>50.49</v>
      </c>
      <c r="G154" s="3" t="inlineStr">
        <is>
          <t>USD</t>
        </is>
      </c>
      <c r="H154" s="4" t="n">
        <v>50.49</v>
      </c>
      <c r="I154" s="5" t="inlineStr">
        <is>
          <t>18890009814 18890009814 PURCHEUSE F REUW METEREUL- EUD</t>
        </is>
      </c>
      <c r="J154" s="3">
        <f>IF(C154="","",TODAY()-C154)</f>
        <v/>
      </c>
    </row>
    <row r="155">
      <c r="A155" s="5" t="inlineStr">
        <is>
          <t>UN0150</t>
        </is>
      </c>
      <c r="B155" s="3" t="inlineStr">
        <is>
          <t>63010002</t>
        </is>
      </c>
      <c r="C155" s="6" t="n">
        <v>44171</v>
      </c>
      <c r="D155" s="3" t="inlineStr">
        <is>
          <t>FZ</t>
        </is>
      </c>
      <c r="E155" s="3" t="inlineStr">
        <is>
          <t>USD</t>
        </is>
      </c>
      <c r="F155" s="4" t="n">
        <v>2136.1</v>
      </c>
      <c r="G155" s="3" t="inlineStr">
        <is>
          <t>USD</t>
        </is>
      </c>
      <c r="H155" s="4" t="n">
        <v>2136.1</v>
      </c>
      <c r="I155" s="5" t="inlineStr">
        <is>
          <t>18890009815 18890009815 PURCHEUSE F REUW MEUTEREUL HEUY</t>
        </is>
      </c>
      <c r="J155" s="3">
        <f>IF(C155="","",TODAY()-C155)</f>
        <v/>
      </c>
    </row>
    <row r="156">
      <c r="A156" s="5" t="inlineStr">
        <is>
          <t>UN0100</t>
        </is>
      </c>
      <c r="B156" s="3" t="inlineStr">
        <is>
          <t>63010002</t>
        </is>
      </c>
      <c r="C156" s="6" t="n">
        <v>44141</v>
      </c>
      <c r="D156" s="3" t="inlineStr">
        <is>
          <t>FZ</t>
        </is>
      </c>
      <c r="E156" s="3" t="inlineStr">
        <is>
          <t>USD</t>
        </is>
      </c>
      <c r="F156" s="4" t="n">
        <v>1350</v>
      </c>
      <c r="G156" s="3" t="inlineStr">
        <is>
          <t>USD</t>
        </is>
      </c>
      <c r="H156" s="4" t="n">
        <v>1350</v>
      </c>
      <c r="I156" s="5" t="inlineStr">
        <is>
          <t>18890000585 18890000585 NTERCMPEUNY PEUYMENTS EUTTUNE</t>
        </is>
      </c>
      <c r="J156" s="3">
        <f>IF(C156="","",TODAY()-C156)</f>
        <v/>
      </c>
    </row>
    <row r="157">
      <c r="A157" s="5" t="inlineStr">
        <is>
          <t>UN0150</t>
        </is>
      </c>
      <c r="B157" s="3" t="inlineStr">
        <is>
          <t>63010002</t>
        </is>
      </c>
      <c r="C157" s="6" t="n">
        <v>44171</v>
      </c>
      <c r="D157" s="3" t="inlineStr">
        <is>
          <t>FZ</t>
        </is>
      </c>
      <c r="E157" s="3" t="inlineStr">
        <is>
          <t>USD</t>
        </is>
      </c>
      <c r="F157" s="4" t="n">
        <v>175</v>
      </c>
      <c r="G157" s="3" t="inlineStr">
        <is>
          <t>USD</t>
        </is>
      </c>
      <c r="H157" s="4" t="n">
        <v>175</v>
      </c>
      <c r="I157" s="5" t="inlineStr">
        <is>
          <t>18890009816 18890009816 GEURMENT TESTNG CHEURGES BURE</t>
        </is>
      </c>
      <c r="J157" s="3">
        <f>IF(C157="","",TODAY()-C157)</f>
        <v/>
      </c>
    </row>
    <row r="158">
      <c r="A158" s="5" t="inlineStr">
        <is>
          <t>UN0150</t>
        </is>
      </c>
      <c r="B158" s="3" t="inlineStr">
        <is>
          <t>63010002</t>
        </is>
      </c>
      <c r="C158" s="6" t="n">
        <v>44171</v>
      </c>
      <c r="D158" s="3" t="inlineStr">
        <is>
          <t>FZ</t>
        </is>
      </c>
      <c r="E158" s="3" t="inlineStr">
        <is>
          <t>USD</t>
        </is>
      </c>
      <c r="F158" s="4" t="n">
        <v>568.87</v>
      </c>
      <c r="G158" s="3" t="inlineStr">
        <is>
          <t>USD</t>
        </is>
      </c>
      <c r="H158" s="4" t="n">
        <v>568.87</v>
      </c>
      <c r="I158" s="5" t="inlineStr">
        <is>
          <t>18890009817 18890009817 TESTNG CHEURGES NTERTEK LEUN</t>
        </is>
      </c>
      <c r="J158" s="3">
        <f>IF(C158="","",TODAY()-C158)</f>
        <v/>
      </c>
    </row>
    <row r="159">
      <c r="A159" s="5" t="inlineStr">
        <is>
          <t>UN0150</t>
        </is>
      </c>
      <c r="B159" s="3" t="inlineStr">
        <is>
          <t>63010002</t>
        </is>
      </c>
      <c r="C159" s="6" t="n">
        <v>44171</v>
      </c>
      <c r="D159" s="3" t="inlineStr">
        <is>
          <t>FZ</t>
        </is>
      </c>
      <c r="E159" s="3" t="inlineStr">
        <is>
          <t>USD</t>
        </is>
      </c>
      <c r="F159" s="4" t="n">
        <v>12306.24</v>
      </c>
      <c r="G159" s="3" t="inlineStr">
        <is>
          <t>USD</t>
        </is>
      </c>
      <c r="H159" s="4" t="n">
        <v>12306.24</v>
      </c>
      <c r="I159" s="5" t="n">
        <v/>
      </c>
      <c r="J159" s="3">
        <f>IF(C159="","",TODAY()-C159)</f>
        <v/>
      </c>
    </row>
    <row r="160">
      <c r="A160" s="5" t="inlineStr">
        <is>
          <t>UN0150</t>
        </is>
      </c>
      <c r="B160" s="3" t="inlineStr">
        <is>
          <t>63010002</t>
        </is>
      </c>
      <c r="C160" s="6" t="n">
        <v>44171</v>
      </c>
      <c r="D160" s="3" t="inlineStr">
        <is>
          <t>FZ</t>
        </is>
      </c>
      <c r="E160" s="3" t="inlineStr">
        <is>
          <t>USD</t>
        </is>
      </c>
      <c r="F160" s="4" t="n">
        <v>2202.75</v>
      </c>
      <c r="G160" s="3" t="inlineStr">
        <is>
          <t>USD</t>
        </is>
      </c>
      <c r="H160" s="4" t="n">
        <v>2202.75</v>
      </c>
      <c r="I160" s="5" t="n">
        <v/>
      </c>
      <c r="J160" s="3">
        <f>IF(C160="","",TODAY()-C160)</f>
        <v/>
      </c>
    </row>
    <row r="161">
      <c r="A161" s="5" t="inlineStr">
        <is>
          <t>UN0150</t>
        </is>
      </c>
      <c r="B161" s="3" t="inlineStr">
        <is>
          <t>63010002</t>
        </is>
      </c>
      <c r="C161" s="6" t="n">
        <v>44171</v>
      </c>
      <c r="D161" s="3" t="inlineStr">
        <is>
          <t>FZ</t>
        </is>
      </c>
      <c r="E161" s="3" t="inlineStr">
        <is>
          <t>USD</t>
        </is>
      </c>
      <c r="F161" s="4" t="n">
        <v>23792.6</v>
      </c>
      <c r="G161" s="3" t="inlineStr">
        <is>
          <t>USD</t>
        </is>
      </c>
      <c r="H161" s="4" t="n">
        <v>23792.6</v>
      </c>
      <c r="I161" s="5" t="inlineStr">
        <is>
          <t>18890009826 18890009826 PURCHEUSE F REUW MEUTEREUL HEUY</t>
        </is>
      </c>
      <c r="J161" s="3">
        <f>IF(C161="","",TODAY()-C161)</f>
        <v/>
      </c>
    </row>
    <row r="162">
      <c r="A162" s="5" t="inlineStr">
        <is>
          <t>UN0150</t>
        </is>
      </c>
      <c r="B162" s="3" t="inlineStr">
        <is>
          <t>63010002</t>
        </is>
      </c>
      <c r="C162" s="6" t="n">
        <v>44171</v>
      </c>
      <c r="D162" s="3" t="inlineStr">
        <is>
          <t>FZ</t>
        </is>
      </c>
      <c r="E162" s="3" t="inlineStr">
        <is>
          <t>USD</t>
        </is>
      </c>
      <c r="F162" s="4" t="n">
        <v>3187.43</v>
      </c>
      <c r="G162" s="3" t="inlineStr">
        <is>
          <t>USD</t>
        </is>
      </c>
      <c r="H162" s="4" t="n">
        <v>3187.43</v>
      </c>
      <c r="I162" s="5" t="inlineStr">
        <is>
          <t>18890009829 18890009829 TP70 TDFB /201188938191140</t>
        </is>
      </c>
      <c r="J162" s="3">
        <f>IF(C162="","",TODAY()-C162)</f>
        <v/>
      </c>
    </row>
    <row r="163">
      <c r="A163" s="5" t="inlineStr">
        <is>
          <t>UN0150</t>
        </is>
      </c>
      <c r="B163" s="3" t="inlineStr">
        <is>
          <t>63010002</t>
        </is>
      </c>
      <c r="C163" s="6" t="n">
        <v>44171</v>
      </c>
      <c r="D163" s="3" t="inlineStr">
        <is>
          <t>FZ</t>
        </is>
      </c>
      <c r="E163" s="3" t="inlineStr">
        <is>
          <t>USD</t>
        </is>
      </c>
      <c r="F163" s="4" t="n">
        <v>3500.89</v>
      </c>
      <c r="G163" s="3" t="inlineStr">
        <is>
          <t>USD</t>
        </is>
      </c>
      <c r="H163" s="4" t="n">
        <v>3500.89</v>
      </c>
      <c r="I163" s="5" t="inlineStr">
        <is>
          <t>18890009830 18890009830 PURCHEUSE F BEURCDE STCKER</t>
        </is>
      </c>
      <c r="J163" s="3">
        <f>IF(C163="","",TODAY()-C163)</f>
        <v/>
      </c>
    </row>
    <row r="164">
      <c r="A164" s="5" t="inlineStr">
        <is>
          <t>UN0150</t>
        </is>
      </c>
      <c r="B164" s="3" t="inlineStr">
        <is>
          <t>63010002</t>
        </is>
      </c>
      <c r="C164" s="6" t="n">
        <v>44171</v>
      </c>
      <c r="D164" s="3" t="inlineStr">
        <is>
          <t>FZ</t>
        </is>
      </c>
      <c r="E164" s="3" t="inlineStr">
        <is>
          <t>USD</t>
        </is>
      </c>
      <c r="F164" s="4" t="n">
        <v>2323.69</v>
      </c>
      <c r="G164" s="3" t="inlineStr">
        <is>
          <t>USD</t>
        </is>
      </c>
      <c r="H164" s="4" t="n">
        <v>2323.69</v>
      </c>
      <c r="I164" s="5" t="inlineStr">
        <is>
          <t>18890009831 18890009831 PURCHEUSE F REUW MEUTEREUL MEU</t>
        </is>
      </c>
      <c r="J164" s="3">
        <f>IF(C164="","",TODAY()-C164)</f>
        <v/>
      </c>
    </row>
    <row r="165">
      <c r="A165" s="5" t="inlineStr">
        <is>
          <t>UN0150</t>
        </is>
      </c>
      <c r="B165" s="3" t="inlineStr">
        <is>
          <t>63010002</t>
        </is>
      </c>
      <c r="C165" s="6" t="n">
        <v>44171</v>
      </c>
      <c r="D165" s="3" t="inlineStr">
        <is>
          <t>FZ</t>
        </is>
      </c>
      <c r="E165" s="3" t="inlineStr">
        <is>
          <t>USD</t>
        </is>
      </c>
      <c r="F165" s="4" t="n">
        <v>3541.62</v>
      </c>
      <c r="G165" s="3" t="inlineStr">
        <is>
          <t>USD</t>
        </is>
      </c>
      <c r="H165" s="4" t="n">
        <v>3541.62</v>
      </c>
      <c r="I165" s="5" t="inlineStr">
        <is>
          <t>18890009833 18890009833 PURCHEUSE F REUW MEUTEREUL TP</t>
        </is>
      </c>
      <c r="J165" s="3">
        <f>IF(C165="","",TODAY()-C165)</f>
        <v/>
      </c>
    </row>
    <row r="166">
      <c r="A166" s="5" t="inlineStr">
        <is>
          <t>UN0150</t>
        </is>
      </c>
      <c r="B166" s="3" t="inlineStr">
        <is>
          <t>63010002</t>
        </is>
      </c>
      <c r="C166" s="6" t="n">
        <v>44171</v>
      </c>
      <c r="D166" s="3" t="inlineStr">
        <is>
          <t>FZ</t>
        </is>
      </c>
      <c r="E166" s="3" t="inlineStr">
        <is>
          <t>USD</t>
        </is>
      </c>
      <c r="F166" s="4" t="n">
        <v>1581.5</v>
      </c>
      <c r="G166" s="3" t="inlineStr">
        <is>
          <t>USD</t>
        </is>
      </c>
      <c r="H166" s="4" t="n">
        <v>1581.5</v>
      </c>
      <c r="I166" s="5" t="inlineStr">
        <is>
          <t>18890009834 18890009834 /099810005862 TT FCB617079MN</t>
        </is>
      </c>
      <c r="J166" s="3">
        <f>IF(C166="","",TODAY()-C166)</f>
        <v/>
      </c>
    </row>
    <row r="167">
      <c r="A167" s="5" t="inlineStr">
        <is>
          <t>XT0150</t>
        </is>
      </c>
      <c r="B167" s="3" t="inlineStr">
        <is>
          <t>63010002</t>
        </is>
      </c>
      <c r="C167" s="6" t="n">
        <v>44171</v>
      </c>
      <c r="D167" s="3" t="inlineStr">
        <is>
          <t>FZ</t>
        </is>
      </c>
      <c r="E167" s="3" t="inlineStr">
        <is>
          <t>USD</t>
        </is>
      </c>
      <c r="F167" s="4" t="n">
        <v>11957.99</v>
      </c>
      <c r="G167" s="3" t="inlineStr">
        <is>
          <t>USD</t>
        </is>
      </c>
      <c r="H167" s="4" t="n">
        <v>11957.99</v>
      </c>
      <c r="I167" s="5" t="inlineStr">
        <is>
          <t>18890011088 18890011088 PURCHEUSE F REUW MEUTEREUL TP</t>
        </is>
      </c>
      <c r="J167" s="3">
        <f>IF(C167="","",TODAY()-C167)</f>
        <v/>
      </c>
    </row>
    <row r="168">
      <c r="A168" s="5" t="inlineStr">
        <is>
          <t>XT0150</t>
        </is>
      </c>
      <c r="B168" s="3" t="inlineStr">
        <is>
          <t>63010002</t>
        </is>
      </c>
      <c r="C168" s="6" t="n">
        <v>44171</v>
      </c>
      <c r="D168" s="3" t="inlineStr">
        <is>
          <t>FZ</t>
        </is>
      </c>
      <c r="E168" s="3" t="inlineStr">
        <is>
          <t>USD</t>
        </is>
      </c>
      <c r="F168" s="4" t="n">
        <v>854.42</v>
      </c>
      <c r="G168" s="3" t="inlineStr">
        <is>
          <t>USD</t>
        </is>
      </c>
      <c r="H168" s="4" t="n">
        <v>854.42</v>
      </c>
      <c r="I168" s="5" t="inlineStr">
        <is>
          <t>18890011089 18890011089 PURCHEUSE F REUW MEUTEREUL TP</t>
        </is>
      </c>
      <c r="J168" s="3">
        <f>IF(C168="","",TODAY()-C168)</f>
        <v/>
      </c>
    </row>
    <row r="169">
      <c r="A169" s="5" t="inlineStr">
        <is>
          <t>XT0150</t>
        </is>
      </c>
      <c r="B169" s="3" t="inlineStr">
        <is>
          <t>63010002</t>
        </is>
      </c>
      <c r="C169" s="6" t="n">
        <v>44171</v>
      </c>
      <c r="D169" s="3" t="inlineStr">
        <is>
          <t>FZ</t>
        </is>
      </c>
      <c r="E169" s="3" t="inlineStr">
        <is>
          <t>USD</t>
        </is>
      </c>
      <c r="F169" s="4" t="n">
        <v>52264.17</v>
      </c>
      <c r="G169" s="3" t="inlineStr">
        <is>
          <t>USD</t>
        </is>
      </c>
      <c r="H169" s="4" t="n">
        <v>52264.17</v>
      </c>
      <c r="I169" s="5" t="inlineStr">
        <is>
          <t>18890011093 18890011093 PURCHEUSE F REUW MEUTEREUL TR</t>
        </is>
      </c>
      <c r="J169" s="3">
        <f>IF(C169="","",TODAY()-C169)</f>
        <v/>
      </c>
    </row>
    <row r="170">
      <c r="A170" s="5" t="inlineStr">
        <is>
          <t>XT0150</t>
        </is>
      </c>
      <c r="B170" s="3" t="inlineStr">
        <is>
          <t>63010002</t>
        </is>
      </c>
      <c r="C170" s="6" t="n">
        <v>44171</v>
      </c>
      <c r="D170" s="3" t="inlineStr">
        <is>
          <t>FZ</t>
        </is>
      </c>
      <c r="E170" s="3" t="inlineStr">
        <is>
          <t>USD</t>
        </is>
      </c>
      <c r="F170" s="4" t="n">
        <v>11394.62</v>
      </c>
      <c r="G170" s="3" t="inlineStr">
        <is>
          <t>USD</t>
        </is>
      </c>
      <c r="H170" s="4" t="n">
        <v>11394.62</v>
      </c>
      <c r="I170" s="5" t="inlineStr">
        <is>
          <t>18890011094 18890011094 PURCHEUSE F REUW MEUTEREUL TP</t>
        </is>
      </c>
      <c r="J170" s="3">
        <f>IF(C170="","",TODAY()-C170)</f>
        <v/>
      </c>
    </row>
    <row r="171">
      <c r="A171" s="5" t="inlineStr">
        <is>
          <t>XT0150</t>
        </is>
      </c>
      <c r="B171" s="3" t="inlineStr">
        <is>
          <t>63010002</t>
        </is>
      </c>
      <c r="C171" s="6" t="n">
        <v>44171</v>
      </c>
      <c r="D171" s="3" t="inlineStr">
        <is>
          <t>FZ</t>
        </is>
      </c>
      <c r="E171" s="3" t="inlineStr">
        <is>
          <t>USD</t>
        </is>
      </c>
      <c r="F171" s="4" t="n">
        <v>90549.69</v>
      </c>
      <c r="G171" s="3" t="inlineStr">
        <is>
          <t>USD</t>
        </is>
      </c>
      <c r="H171" s="4" t="n">
        <v>90549.69</v>
      </c>
      <c r="I171" s="5" t="inlineStr">
        <is>
          <t>18890011099 18890011099 PURCHEUSE F REUW METEREUL TP</t>
        </is>
      </c>
      <c r="J171" s="3">
        <f>IF(C171="","",TODAY()-C171)</f>
        <v/>
      </c>
    </row>
    <row r="172">
      <c r="A172" s="5" t="inlineStr">
        <is>
          <t>XT0150</t>
        </is>
      </c>
      <c r="B172" s="3" t="inlineStr">
        <is>
          <t>63010002</t>
        </is>
      </c>
      <c r="C172" s="6" t="n">
        <v>44171</v>
      </c>
      <c r="D172" s="3" t="inlineStr">
        <is>
          <t>FZ</t>
        </is>
      </c>
      <c r="E172" s="3" t="inlineStr">
        <is>
          <t>USD</t>
        </is>
      </c>
      <c r="F172" s="4" t="n">
        <v>631.84</v>
      </c>
      <c r="G172" s="3" t="inlineStr">
        <is>
          <t>USD</t>
        </is>
      </c>
      <c r="H172" s="4" t="n">
        <v>631.84</v>
      </c>
      <c r="I172" s="5" t="inlineStr">
        <is>
          <t>18890011100 18890011100 HELLMEUNN  SUPPLY CHEUN (P</t>
        </is>
      </c>
      <c r="J172" s="3">
        <f>IF(C172="","",TODAY()-C172)</f>
        <v/>
      </c>
    </row>
    <row r="173">
      <c r="A173" s="5" t="inlineStr">
        <is>
          <t>UN0100</t>
        </is>
      </c>
      <c r="B173" s="3" t="inlineStr">
        <is>
          <t>63010002</t>
        </is>
      </c>
      <c r="C173" s="6" t="n">
        <v>44141</v>
      </c>
      <c r="D173" s="3" t="inlineStr">
        <is>
          <t>JE</t>
        </is>
      </c>
      <c r="E173" s="3" t="inlineStr">
        <is>
          <t>USD</t>
        </is>
      </c>
      <c r="F173" s="4" t="n">
        <v>-2001.15</v>
      </c>
      <c r="G173" s="3" t="inlineStr">
        <is>
          <t>USD</t>
        </is>
      </c>
      <c r="H173" s="4" t="n">
        <v>-2001.15</v>
      </c>
      <c r="I173" s="5" t="inlineStr">
        <is>
          <t>EUBCnsfer</t>
        </is>
      </c>
      <c r="J173" s="3">
        <f>IF(C173="","",TODAY()-C173)</f>
        <v/>
      </c>
    </row>
    <row r="174">
      <c r="A174" s="5" t="inlineStr">
        <is>
          <t>XT0150</t>
        </is>
      </c>
      <c r="B174" s="3" t="inlineStr">
        <is>
          <t>63010002</t>
        </is>
      </c>
      <c r="C174" s="6" t="n">
        <v>44171</v>
      </c>
      <c r="D174" s="3" t="inlineStr">
        <is>
          <t>FZ</t>
        </is>
      </c>
      <c r="E174" s="3" t="inlineStr">
        <is>
          <t>USD</t>
        </is>
      </c>
      <c r="F174" s="4" t="n">
        <v>12297.63</v>
      </c>
      <c r="G174" s="3" t="inlineStr">
        <is>
          <t>USD</t>
        </is>
      </c>
      <c r="H174" s="4" t="n">
        <v>12297.63</v>
      </c>
      <c r="I174" s="5" t="n">
        <v/>
      </c>
      <c r="J174" s="3">
        <f>IF(C174="","",TODAY()-C174)</f>
        <v/>
      </c>
    </row>
    <row r="175">
      <c r="A175" s="5" t="inlineStr">
        <is>
          <t>XT0150</t>
        </is>
      </c>
      <c r="B175" s="3" t="inlineStr">
        <is>
          <t>63010002</t>
        </is>
      </c>
      <c r="C175" s="6" t="n">
        <v>44171</v>
      </c>
      <c r="D175" s="3" t="inlineStr">
        <is>
          <t>FZ</t>
        </is>
      </c>
      <c r="E175" s="3" t="inlineStr">
        <is>
          <t>USD</t>
        </is>
      </c>
      <c r="F175" s="4" t="n">
        <v>285278.59</v>
      </c>
      <c r="G175" s="3" t="inlineStr">
        <is>
          <t>USD</t>
        </is>
      </c>
      <c r="H175" s="4" t="n">
        <v>285278.59</v>
      </c>
      <c r="I175" s="5" t="n">
        <v/>
      </c>
      <c r="J175" s="3">
        <f>IF(C175="","",TODAY()-C175)</f>
        <v/>
      </c>
    </row>
    <row r="176">
      <c r="A176" s="5" t="inlineStr">
        <is>
          <t>XT0150</t>
        </is>
      </c>
      <c r="B176" s="3" t="inlineStr">
        <is>
          <t>63010002</t>
        </is>
      </c>
      <c r="C176" s="6" t="n">
        <v>44171</v>
      </c>
      <c r="D176" s="3" t="inlineStr">
        <is>
          <t>FZ</t>
        </is>
      </c>
      <c r="E176" s="3" t="inlineStr">
        <is>
          <t>USD</t>
        </is>
      </c>
      <c r="F176" s="4" t="n">
        <v>50000</v>
      </c>
      <c r="G176" s="3" t="inlineStr">
        <is>
          <t>USD</t>
        </is>
      </c>
      <c r="H176" s="4" t="n">
        <v>50000</v>
      </c>
      <c r="I176" s="5" t="n">
        <v/>
      </c>
      <c r="J176" s="3">
        <f>IF(C176="","",TODAY()-C176)</f>
        <v/>
      </c>
    </row>
    <row r="177">
      <c r="A177" s="5" t="inlineStr">
        <is>
          <t>XT0150</t>
        </is>
      </c>
      <c r="B177" s="3" t="inlineStr">
        <is>
          <t>63010002</t>
        </is>
      </c>
      <c r="C177" s="6" t="n">
        <v>44171</v>
      </c>
      <c r="D177" s="3" t="inlineStr">
        <is>
          <t>FZ</t>
        </is>
      </c>
      <c r="E177" s="3" t="inlineStr">
        <is>
          <t>USD</t>
        </is>
      </c>
      <c r="F177" s="4" t="n">
        <v>50000</v>
      </c>
      <c r="G177" s="3" t="inlineStr">
        <is>
          <t>USD</t>
        </is>
      </c>
      <c r="H177" s="4" t="n">
        <v>50000</v>
      </c>
      <c r="I177" s="5" t="n">
        <v/>
      </c>
      <c r="J177" s="3">
        <f>IF(C177="","",TODAY()-C177)</f>
        <v/>
      </c>
    </row>
    <row r="178">
      <c r="A178" s="5" t="inlineStr">
        <is>
          <t>UN0100</t>
        </is>
      </c>
      <c r="B178" s="3" t="inlineStr">
        <is>
          <t>63010002</t>
        </is>
      </c>
      <c r="C178" s="6" t="n">
        <v>44141</v>
      </c>
      <c r="D178" s="3" t="inlineStr">
        <is>
          <t>FZ</t>
        </is>
      </c>
      <c r="E178" s="3" t="inlineStr">
        <is>
          <t>USD</t>
        </is>
      </c>
      <c r="F178" s="4" t="n">
        <v>12217.94</v>
      </c>
      <c r="G178" s="3" t="inlineStr">
        <is>
          <t>USD</t>
        </is>
      </c>
      <c r="H178" s="4" t="n">
        <v>12217.94</v>
      </c>
      <c r="I178" s="5" t="inlineStr">
        <is>
          <t>18890000587 18890000587  HLDNGS (SNGEUPRE) PTE</t>
        </is>
      </c>
      <c r="J178" s="3">
        <f>IF(C178="","",TODAY()-C178)</f>
        <v/>
      </c>
    </row>
    <row r="179">
      <c r="A179" s="5" t="inlineStr">
        <is>
          <t>UN0150</t>
        </is>
      </c>
      <c r="B179" s="3" t="inlineStr">
        <is>
          <t>63010002</t>
        </is>
      </c>
      <c r="C179" s="6" t="n">
        <v>44171</v>
      </c>
      <c r="D179" s="3" t="inlineStr">
        <is>
          <t>FZ</t>
        </is>
      </c>
      <c r="E179" s="3" t="inlineStr">
        <is>
          <t>USD</t>
        </is>
      </c>
      <c r="F179" s="4" t="n">
        <v>1088</v>
      </c>
      <c r="G179" s="3" t="inlineStr">
        <is>
          <t>USD</t>
        </is>
      </c>
      <c r="H179" s="4" t="n">
        <v>1088</v>
      </c>
      <c r="I179" s="5" t="n">
        <v/>
      </c>
      <c r="J179" s="3">
        <f>IF(C179="","",TODAY()-C179)</f>
        <v/>
      </c>
    </row>
    <row r="180">
      <c r="A180" s="5" t="inlineStr">
        <is>
          <t>UN0150</t>
        </is>
      </c>
      <c r="B180" s="3" t="inlineStr">
        <is>
          <t>63010002</t>
        </is>
      </c>
      <c r="C180" s="6" t="n">
        <v>44171</v>
      </c>
      <c r="D180" s="3" t="inlineStr">
        <is>
          <t>FZ</t>
        </is>
      </c>
      <c r="E180" s="3" t="inlineStr">
        <is>
          <t>USD</t>
        </is>
      </c>
      <c r="F180" s="4" t="n">
        <v>6323.2</v>
      </c>
      <c r="G180" s="3" t="inlineStr">
        <is>
          <t>USD</t>
        </is>
      </c>
      <c r="H180" s="4" t="n">
        <v>6323.2</v>
      </c>
      <c r="I180" s="5" t="n">
        <v/>
      </c>
      <c r="J180" s="3">
        <f>IF(C180="","",TODAY()-C180)</f>
        <v/>
      </c>
    </row>
    <row r="181">
      <c r="A181" s="5" t="inlineStr">
        <is>
          <t>UN0150</t>
        </is>
      </c>
      <c r="B181" s="3" t="inlineStr">
        <is>
          <t>63010002</t>
        </is>
      </c>
      <c r="C181" s="6" t="n">
        <v>44171</v>
      </c>
      <c r="D181" s="3" t="inlineStr">
        <is>
          <t>FZ</t>
        </is>
      </c>
      <c r="E181" s="3" t="inlineStr">
        <is>
          <t>USD</t>
        </is>
      </c>
      <c r="F181" s="4" t="n">
        <v>1305</v>
      </c>
      <c r="G181" s="3" t="inlineStr">
        <is>
          <t>USD</t>
        </is>
      </c>
      <c r="H181" s="4" t="n">
        <v>1305</v>
      </c>
      <c r="I181" s="5" t="n">
        <v/>
      </c>
      <c r="J181" s="3">
        <f>IF(C181="","",TODAY()-C181)</f>
        <v/>
      </c>
    </row>
    <row r="182">
      <c r="A182" s="5" t="inlineStr">
        <is>
          <t>UN0150</t>
        </is>
      </c>
      <c r="B182" s="3" t="inlineStr">
        <is>
          <t>63010002</t>
        </is>
      </c>
      <c r="C182" s="6" t="n">
        <v>44171</v>
      </c>
      <c r="D182" s="3" t="inlineStr">
        <is>
          <t>FZ</t>
        </is>
      </c>
      <c r="E182" s="3" t="inlineStr">
        <is>
          <t>USD</t>
        </is>
      </c>
      <c r="F182" s="4" t="n">
        <v>920.39</v>
      </c>
      <c r="G182" s="3" t="inlineStr">
        <is>
          <t>USD</t>
        </is>
      </c>
      <c r="H182" s="4" t="n">
        <v>920.39</v>
      </c>
      <c r="I182" s="5" t="n">
        <v/>
      </c>
      <c r="J182" s="3">
        <f>IF(C182="","",TODAY()-C182)</f>
        <v/>
      </c>
    </row>
    <row r="183">
      <c r="A183" s="5" t="inlineStr">
        <is>
          <t>UN0150</t>
        </is>
      </c>
      <c r="B183" s="3" t="inlineStr">
        <is>
          <t>63010002</t>
        </is>
      </c>
      <c r="C183" s="6" t="n">
        <v>44171</v>
      </c>
      <c r="D183" s="3" t="inlineStr">
        <is>
          <t>FZ</t>
        </is>
      </c>
      <c r="E183" s="3" t="inlineStr">
        <is>
          <t>USD</t>
        </is>
      </c>
      <c r="F183" s="4" t="n">
        <v>3598.06</v>
      </c>
      <c r="G183" s="3" t="inlineStr">
        <is>
          <t>USD</t>
        </is>
      </c>
      <c r="H183" s="4" t="n">
        <v>3598.06</v>
      </c>
      <c r="I183" s="5" t="n">
        <v/>
      </c>
      <c r="J183" s="3">
        <f>IF(C183="","",TODAY()-C183)</f>
        <v/>
      </c>
    </row>
    <row r="184">
      <c r="A184" s="5" t="inlineStr">
        <is>
          <t>UN0150</t>
        </is>
      </c>
      <c r="B184" s="3" t="inlineStr">
        <is>
          <t>63010002</t>
        </is>
      </c>
      <c r="C184" s="6" t="n">
        <v>44171</v>
      </c>
      <c r="D184" s="3" t="inlineStr">
        <is>
          <t>FZ</t>
        </is>
      </c>
      <c r="E184" s="3" t="inlineStr">
        <is>
          <t>USD</t>
        </is>
      </c>
      <c r="F184" s="4" t="n">
        <v>35437.16</v>
      </c>
      <c r="G184" s="3" t="inlineStr">
        <is>
          <t>USD</t>
        </is>
      </c>
      <c r="H184" s="4" t="n">
        <v>35437.16</v>
      </c>
      <c r="I184" s="5" t="n">
        <v/>
      </c>
      <c r="J184" s="3">
        <f>IF(C184="","",TODAY()-C184)</f>
        <v/>
      </c>
    </row>
    <row r="185">
      <c r="A185" s="5" t="inlineStr">
        <is>
          <t>UN0150</t>
        </is>
      </c>
      <c r="B185" s="3" t="inlineStr">
        <is>
          <t>63010002</t>
        </is>
      </c>
      <c r="C185" s="6" t="n">
        <v>44171</v>
      </c>
      <c r="D185" s="3" t="inlineStr">
        <is>
          <t>FZ</t>
        </is>
      </c>
      <c r="E185" s="3" t="inlineStr">
        <is>
          <t>USD</t>
        </is>
      </c>
      <c r="F185" s="4" t="n">
        <v>1601.55</v>
      </c>
      <c r="G185" s="3" t="inlineStr">
        <is>
          <t>USD</t>
        </is>
      </c>
      <c r="H185" s="4" t="n">
        <v>1601.55</v>
      </c>
      <c r="I185" s="5" t="n">
        <v/>
      </c>
      <c r="J185" s="3">
        <f>IF(C185="","",TODAY()-C185)</f>
        <v/>
      </c>
    </row>
    <row r="186">
      <c r="A186" s="5" t="inlineStr">
        <is>
          <t>UN0150</t>
        </is>
      </c>
      <c r="B186" s="3" t="inlineStr">
        <is>
          <t>63010002</t>
        </is>
      </c>
      <c r="C186" s="6" t="n">
        <v>44171</v>
      </c>
      <c r="D186" s="3" t="inlineStr">
        <is>
          <t>FZ</t>
        </is>
      </c>
      <c r="E186" s="3" t="inlineStr">
        <is>
          <t>USD</t>
        </is>
      </c>
      <c r="F186" s="4" t="n">
        <v>3270</v>
      </c>
      <c r="G186" s="3" t="inlineStr">
        <is>
          <t>USD</t>
        </is>
      </c>
      <c r="H186" s="4" t="n">
        <v>3270</v>
      </c>
      <c r="I186" s="5" t="inlineStr">
        <is>
          <t>18890009845 18890009845 TP70 TDFB /163800460293 T</t>
        </is>
      </c>
      <c r="J186" s="3">
        <f>IF(C186="","",TODAY()-C186)</f>
        <v/>
      </c>
    </row>
    <row r="187">
      <c r="A187" s="5" t="inlineStr">
        <is>
          <t>UN0150</t>
        </is>
      </c>
      <c r="B187" s="3" t="inlineStr">
        <is>
          <t>63010002</t>
        </is>
      </c>
      <c r="C187" s="6" t="n">
        <v>44171</v>
      </c>
      <c r="D187" s="3" t="inlineStr">
        <is>
          <t>FZ</t>
        </is>
      </c>
      <c r="E187" s="3" t="inlineStr">
        <is>
          <t>USD</t>
        </is>
      </c>
      <c r="F187" s="4" t="n">
        <v>919.4400000000001</v>
      </c>
      <c r="G187" s="3" t="inlineStr">
        <is>
          <t>USD</t>
        </is>
      </c>
      <c r="H187" s="4" t="n">
        <v>919.4400000000001</v>
      </c>
      <c r="I187" s="5" t="inlineStr">
        <is>
          <t>18890009847 18890009847 PURCHEUSE F PEUCKNG MEUTEREUL</t>
        </is>
      </c>
      <c r="J187" s="3">
        <f>IF(C187="","",TODAY()-C187)</f>
        <v/>
      </c>
    </row>
    <row r="188">
      <c r="A188" s="5" t="inlineStr">
        <is>
          <t>UN0150</t>
        </is>
      </c>
      <c r="B188" s="3" t="inlineStr">
        <is>
          <t>63010002</t>
        </is>
      </c>
      <c r="C188" s="6" t="n">
        <v>44171</v>
      </c>
      <c r="D188" s="3" t="inlineStr">
        <is>
          <t>FZ</t>
        </is>
      </c>
      <c r="E188" s="3" t="inlineStr">
        <is>
          <t>USD</t>
        </is>
      </c>
      <c r="F188" s="4" t="n">
        <v>6006.41</v>
      </c>
      <c r="G188" s="3" t="inlineStr">
        <is>
          <t>USD</t>
        </is>
      </c>
      <c r="H188" s="4" t="n">
        <v>6006.41</v>
      </c>
      <c r="I188" s="5" t="inlineStr">
        <is>
          <t>18890009848 18890009848 NT EUN EUDVEUNCE PEUYMENT , RM</t>
        </is>
      </c>
      <c r="J188" s="3">
        <f>IF(C188="","",TODAY()-C188)</f>
        <v/>
      </c>
    </row>
    <row r="189">
      <c r="A189" s="5" t="inlineStr">
        <is>
          <t>UN0150</t>
        </is>
      </c>
      <c r="B189" s="3" t="inlineStr">
        <is>
          <t>63010002</t>
        </is>
      </c>
      <c r="C189" s="6" t="n">
        <v>44171</v>
      </c>
      <c r="D189" s="3" t="inlineStr">
        <is>
          <t>FZ</t>
        </is>
      </c>
      <c r="E189" s="3" t="inlineStr">
        <is>
          <t>USD</t>
        </is>
      </c>
      <c r="F189" s="4" t="n">
        <v>1129.75</v>
      </c>
      <c r="G189" s="3" t="inlineStr">
        <is>
          <t>USD</t>
        </is>
      </c>
      <c r="H189" s="4" t="n">
        <v>1129.75</v>
      </c>
      <c r="I189" s="5" t="inlineStr">
        <is>
          <t>18890009852 18890009852 /019210000979 TT FCB617299MN</t>
        </is>
      </c>
      <c r="J189" s="3">
        <f>IF(C189="","",TODAY()-C189)</f>
        <v/>
      </c>
    </row>
    <row r="190">
      <c r="A190" s="5" t="inlineStr">
        <is>
          <t>UN0150</t>
        </is>
      </c>
      <c r="B190" s="3" t="inlineStr">
        <is>
          <t>63010002</t>
        </is>
      </c>
      <c r="C190" s="6" t="n">
        <v>44171</v>
      </c>
      <c r="D190" s="3" t="inlineStr">
        <is>
          <t>FZ</t>
        </is>
      </c>
      <c r="E190" s="3" t="inlineStr">
        <is>
          <t>USD</t>
        </is>
      </c>
      <c r="F190" s="4" t="n">
        <v>1795.69</v>
      </c>
      <c r="G190" s="3" t="inlineStr">
        <is>
          <t>USD</t>
        </is>
      </c>
      <c r="H190" s="4" t="n">
        <v>1795.69</v>
      </c>
      <c r="I190" s="5" t="inlineStr">
        <is>
          <t>18890009853 18890009853 PURCHEUSE F BEURCDE STCKER</t>
        </is>
      </c>
      <c r="J190" s="3">
        <f>IF(C190="","",TODAY()-C190)</f>
        <v/>
      </c>
    </row>
    <row r="191">
      <c r="A191" s="5" t="inlineStr">
        <is>
          <t>XT0150</t>
        </is>
      </c>
      <c r="B191" s="3" t="inlineStr">
        <is>
          <t>63010002</t>
        </is>
      </c>
      <c r="C191" s="6" t="n">
        <v>44171</v>
      </c>
      <c r="D191" s="3" t="inlineStr">
        <is>
          <t>FZ</t>
        </is>
      </c>
      <c r="E191" s="3" t="inlineStr">
        <is>
          <t>USD</t>
        </is>
      </c>
      <c r="F191" s="4" t="n">
        <v>2226.3</v>
      </c>
      <c r="G191" s="3" t="inlineStr">
        <is>
          <t>USD</t>
        </is>
      </c>
      <c r="H191" s="4" t="n">
        <v>2226.3</v>
      </c>
      <c r="I191" s="5" t="inlineStr">
        <is>
          <t>18890011098 18890011098 PURCHEUSE F REUW METEREUL- EUD</t>
        </is>
      </c>
      <c r="J191" s="3">
        <f>IF(C191="","",TODAY()-C191)</f>
        <v/>
      </c>
    </row>
    <row r="192">
      <c r="A192" s="5" t="inlineStr">
        <is>
          <t>XT0150</t>
        </is>
      </c>
      <c r="B192" s="3" t="inlineStr">
        <is>
          <t>63010002</t>
        </is>
      </c>
      <c r="C192" s="6" t="n">
        <v>44171</v>
      </c>
      <c r="D192" s="3" t="inlineStr">
        <is>
          <t>FZ</t>
        </is>
      </c>
      <c r="E192" s="3" t="inlineStr">
        <is>
          <t>USD</t>
        </is>
      </c>
      <c r="F192" s="4" t="n">
        <v>9434.200000000001</v>
      </c>
      <c r="G192" s="3" t="inlineStr">
        <is>
          <t>USD</t>
        </is>
      </c>
      <c r="H192" s="4" t="n">
        <v>9434.200000000001</v>
      </c>
      <c r="I192" s="5" t="inlineStr">
        <is>
          <t>18890011101 18890011101 TP10 TDFB /86257052177 TT</t>
        </is>
      </c>
      <c r="J192" s="3">
        <f>IF(C192="","",TODAY()-C192)</f>
        <v/>
      </c>
    </row>
    <row r="193">
      <c r="A193" s="5" t="inlineStr">
        <is>
          <t>XT0150</t>
        </is>
      </c>
      <c r="B193" s="3" t="inlineStr">
        <is>
          <t>63010002</t>
        </is>
      </c>
      <c r="C193" s="6" t="n">
        <v>44171</v>
      </c>
      <c r="D193" s="3" t="inlineStr">
        <is>
          <t>FZ</t>
        </is>
      </c>
      <c r="E193" s="3" t="inlineStr">
        <is>
          <t>USD</t>
        </is>
      </c>
      <c r="F193" s="4" t="n">
        <v>644010.14</v>
      </c>
      <c r="G193" s="3" t="inlineStr">
        <is>
          <t>USD</t>
        </is>
      </c>
      <c r="H193" s="4" t="n">
        <v>644010.14</v>
      </c>
      <c r="I193" s="5" t="n">
        <v/>
      </c>
      <c r="J193" s="3">
        <f>IF(C193="","",TODAY()-C193)</f>
        <v/>
      </c>
    </row>
    <row r="194">
      <c r="A194" s="5" t="inlineStr">
        <is>
          <t>XT0150</t>
        </is>
      </c>
      <c r="B194" s="3" t="inlineStr">
        <is>
          <t>63010002</t>
        </is>
      </c>
      <c r="C194" s="6" t="n">
        <v>44171</v>
      </c>
      <c r="D194" s="3" t="inlineStr">
        <is>
          <t>FZ</t>
        </is>
      </c>
      <c r="E194" s="3" t="inlineStr">
        <is>
          <t>USD</t>
        </is>
      </c>
      <c r="F194" s="4" t="n">
        <v>91367.88</v>
      </c>
      <c r="G194" s="3" t="inlineStr">
        <is>
          <t>USD</t>
        </is>
      </c>
      <c r="H194" s="4" t="n">
        <v>91367.88</v>
      </c>
      <c r="I194" s="5" t="n">
        <v/>
      </c>
      <c r="J194" s="3">
        <f>IF(C194="","",TODAY()-C194)</f>
        <v/>
      </c>
    </row>
    <row r="195">
      <c r="A195" s="5" t="inlineStr">
        <is>
          <t>UN0100</t>
        </is>
      </c>
      <c r="B195" s="3" t="inlineStr">
        <is>
          <t>63010002</t>
        </is>
      </c>
      <c r="C195" s="6" t="n">
        <v>44141</v>
      </c>
      <c r="D195" s="3" t="inlineStr">
        <is>
          <t>FZ</t>
        </is>
      </c>
      <c r="E195" s="3" t="inlineStr">
        <is>
          <t>USD</t>
        </is>
      </c>
      <c r="F195" s="4" t="n">
        <v>9272.9</v>
      </c>
      <c r="G195" s="3" t="inlineStr">
        <is>
          <t>USD</t>
        </is>
      </c>
      <c r="H195" s="4" t="n">
        <v>9272.9</v>
      </c>
      <c r="I195" s="5" t="n">
        <v/>
      </c>
      <c r="J195" s="3">
        <f>IF(C195="","",TODAY()-C195)</f>
        <v/>
      </c>
    </row>
    <row r="196">
      <c r="A196" s="5" t="inlineStr">
        <is>
          <t>UN0100</t>
        </is>
      </c>
      <c r="B196" s="3" t="inlineStr">
        <is>
          <t>63010002</t>
        </is>
      </c>
      <c r="C196" s="6" t="n">
        <v>44141</v>
      </c>
      <c r="D196" s="3" t="inlineStr">
        <is>
          <t>FZ</t>
        </is>
      </c>
      <c r="E196" s="3" t="inlineStr">
        <is>
          <t>USD</t>
        </is>
      </c>
      <c r="F196" s="4" t="n">
        <v>1108757.64</v>
      </c>
      <c r="G196" s="3" t="inlineStr">
        <is>
          <t>USD</t>
        </is>
      </c>
      <c r="H196" s="4" t="n">
        <v>1108757.64</v>
      </c>
      <c r="I196" s="5" t="inlineStr">
        <is>
          <t>EUEFCB1889175 EUBCNSFER</t>
        </is>
      </c>
      <c r="J196" s="3">
        <f>IF(C196="","",TODAY()-C196)</f>
        <v/>
      </c>
    </row>
    <row r="197">
      <c r="A197" s="5" t="inlineStr">
        <is>
          <t>XT0150</t>
        </is>
      </c>
      <c r="B197" s="3" t="inlineStr">
        <is>
          <t>63010002</t>
        </is>
      </c>
      <c r="C197" s="6" t="n">
        <v>44171</v>
      </c>
      <c r="D197" s="3" t="inlineStr">
        <is>
          <t>FZ</t>
        </is>
      </c>
      <c r="E197" s="3" t="inlineStr">
        <is>
          <t>USD</t>
        </is>
      </c>
      <c r="F197" s="4" t="n">
        <v>329</v>
      </c>
      <c r="G197" s="3" t="inlineStr">
        <is>
          <t>USD</t>
        </is>
      </c>
      <c r="H197" s="4" t="n">
        <v>329</v>
      </c>
      <c r="I197" s="5" t="inlineStr">
        <is>
          <t>18890011102 18890011102 TESTNG CHEURGES /51189420620</t>
        </is>
      </c>
      <c r="J197" s="3">
        <f>IF(C197="","",TODAY()-C197)</f>
        <v/>
      </c>
    </row>
    <row r="198">
      <c r="A198" s="5" t="inlineStr">
        <is>
          <t>XT0150</t>
        </is>
      </c>
      <c r="B198" s="3" t="inlineStr">
        <is>
          <t>63010002</t>
        </is>
      </c>
      <c r="C198" s="6" t="n">
        <v>44171</v>
      </c>
      <c r="D198" s="3" t="inlineStr">
        <is>
          <t>FZ</t>
        </is>
      </c>
      <c r="E198" s="3" t="inlineStr">
        <is>
          <t>USD</t>
        </is>
      </c>
      <c r="F198" s="4" t="n">
        <v>3147.03</v>
      </c>
      <c r="G198" s="3" t="inlineStr">
        <is>
          <t>USD</t>
        </is>
      </c>
      <c r="H198" s="4" t="n">
        <v>3147.03</v>
      </c>
      <c r="I198" s="5" t="inlineStr">
        <is>
          <t>18890011103 18890011103 PURCHEUSE F REUW MEUTEREUL TP</t>
        </is>
      </c>
      <c r="J198" s="3">
        <f>IF(C198="","",TODAY()-C198)</f>
        <v/>
      </c>
    </row>
    <row r="199">
      <c r="A199" s="5" t="inlineStr">
        <is>
          <t>XT0150</t>
        </is>
      </c>
      <c r="B199" s="3" t="inlineStr">
        <is>
          <t>63010002</t>
        </is>
      </c>
      <c r="C199" s="6" t="n">
        <v>44171</v>
      </c>
      <c r="D199" s="3" t="inlineStr">
        <is>
          <t>FZ</t>
        </is>
      </c>
      <c r="E199" s="3" t="inlineStr">
        <is>
          <t>USD</t>
        </is>
      </c>
      <c r="F199" s="4" t="n">
        <v>1348.15</v>
      </c>
      <c r="G199" s="3" t="inlineStr">
        <is>
          <t>USD</t>
        </is>
      </c>
      <c r="H199" s="4" t="n">
        <v>1348.15</v>
      </c>
      <c r="I199" s="5" t="inlineStr">
        <is>
          <t>18890011104 18890011104 PURCHEUSE F REUW MEUTEREUL TP</t>
        </is>
      </c>
      <c r="J199" s="3">
        <f>IF(C199="","",TODAY()-C199)</f>
        <v/>
      </c>
    </row>
    <row r="200">
      <c r="A200" s="5" t="inlineStr">
        <is>
          <t>XT0150</t>
        </is>
      </c>
      <c r="B200" s="3" t="inlineStr">
        <is>
          <t>63010002</t>
        </is>
      </c>
      <c r="C200" s="6" t="n">
        <v>44171</v>
      </c>
      <c r="D200" s="3" t="inlineStr">
        <is>
          <t>FZ</t>
        </is>
      </c>
      <c r="E200" s="3" t="inlineStr">
        <is>
          <t>USD</t>
        </is>
      </c>
      <c r="F200" s="4" t="n">
        <v>12264.27</v>
      </c>
      <c r="G200" s="3" t="inlineStr">
        <is>
          <t>USD</t>
        </is>
      </c>
      <c r="H200" s="4" t="n">
        <v>12264.27</v>
      </c>
      <c r="I200" s="5" t="inlineStr">
        <is>
          <t>18890011105 18890011105 PURCHEUSE F REUW METEREUL TP</t>
        </is>
      </c>
      <c r="J200" s="3">
        <f>IF(C200="","",TODAY()-C200)</f>
        <v/>
      </c>
    </row>
    <row r="201">
      <c r="A201" s="5" t="inlineStr">
        <is>
          <t>XT0150</t>
        </is>
      </c>
      <c r="B201" s="3" t="inlineStr">
        <is>
          <t>63010002</t>
        </is>
      </c>
      <c r="C201" s="6" t="n">
        <v>44171</v>
      </c>
      <c r="D201" s="3" t="inlineStr">
        <is>
          <t>FZ</t>
        </is>
      </c>
      <c r="E201" s="3" t="inlineStr">
        <is>
          <t>USD</t>
        </is>
      </c>
      <c r="F201" s="4" t="n">
        <v>23475</v>
      </c>
      <c r="G201" s="3" t="inlineStr">
        <is>
          <t>USD</t>
        </is>
      </c>
      <c r="H201" s="4" t="n">
        <v>23475</v>
      </c>
      <c r="I201" s="5" t="inlineStr">
        <is>
          <t>18890011106 18890011106 /014188989101 TT FCB617468MNY</t>
        </is>
      </c>
      <c r="J201" s="3">
        <f>IF(C201="","",TODAY()-C201)</f>
        <v/>
      </c>
    </row>
    <row r="202">
      <c r="A202" s="5" t="inlineStr">
        <is>
          <t>XT0150</t>
        </is>
      </c>
      <c r="B202" s="3" t="inlineStr">
        <is>
          <t>63010002</t>
        </is>
      </c>
      <c r="C202" s="6" t="n">
        <v>44171</v>
      </c>
      <c r="D202" s="3" t="inlineStr">
        <is>
          <t>FZ</t>
        </is>
      </c>
      <c r="E202" s="3" t="inlineStr">
        <is>
          <t>USD</t>
        </is>
      </c>
      <c r="F202" s="4" t="n">
        <v>1251.9</v>
      </c>
      <c r="G202" s="3" t="inlineStr">
        <is>
          <t>USD</t>
        </is>
      </c>
      <c r="H202" s="4" t="n">
        <v>1251.9</v>
      </c>
      <c r="I202" s="5" t="inlineStr">
        <is>
          <t>18890011110 18890011110 PURCHEUSE F REUW METEREUL- EUD</t>
        </is>
      </c>
      <c r="J202" s="3">
        <f>IF(C202="","",TODAY()-C202)</f>
        <v/>
      </c>
    </row>
    <row r="203">
      <c r="A203" s="5" t="inlineStr">
        <is>
          <t>XT0150</t>
        </is>
      </c>
      <c r="B203" s="3" t="inlineStr">
        <is>
          <t>63010002</t>
        </is>
      </c>
      <c r="C203" s="6" t="n">
        <v>44171</v>
      </c>
      <c r="D203" s="3" t="inlineStr">
        <is>
          <t>FZ</t>
        </is>
      </c>
      <c r="E203" s="3" t="inlineStr">
        <is>
          <t>USD</t>
        </is>
      </c>
      <c r="F203" s="4" t="n">
        <v>685.58</v>
      </c>
      <c r="G203" s="3" t="inlineStr">
        <is>
          <t>USD</t>
        </is>
      </c>
      <c r="H203" s="4" t="n">
        <v>685.58</v>
      </c>
      <c r="I203" s="5" t="inlineStr">
        <is>
          <t>18890011111 18890011111 TP10 TDFB /387064260520 T</t>
        </is>
      </c>
      <c r="J203" s="3">
        <f>IF(C203="","",TODAY()-C203)</f>
        <v/>
      </c>
    </row>
    <row r="204">
      <c r="A204" s="5" t="inlineStr">
        <is>
          <t>UN0150</t>
        </is>
      </c>
      <c r="B204" s="3" t="inlineStr">
        <is>
          <t>63010002</t>
        </is>
      </c>
      <c r="C204" s="6" t="n">
        <v>44171</v>
      </c>
      <c r="D204" s="3" t="inlineStr">
        <is>
          <t>FZ</t>
        </is>
      </c>
      <c r="E204" s="3" t="inlineStr">
        <is>
          <t>USD</t>
        </is>
      </c>
      <c r="F204" s="4" t="n">
        <v>11961.55</v>
      </c>
      <c r="G204" s="3" t="inlineStr">
        <is>
          <t>USD</t>
        </is>
      </c>
      <c r="H204" s="4" t="n">
        <v>11961.55</v>
      </c>
      <c r="I204" s="5" t="inlineStr">
        <is>
          <t>LEUEFCB1889388</t>
        </is>
      </c>
      <c r="J204" s="3">
        <f>IF(C204="","",TODAY()-C204)</f>
        <v/>
      </c>
    </row>
    <row r="205">
      <c r="A205" s="5" t="inlineStr">
        <is>
          <t>XT0150</t>
        </is>
      </c>
      <c r="B205" s="3" t="inlineStr">
        <is>
          <t>63010002</t>
        </is>
      </c>
      <c r="C205" s="6" t="n">
        <v>44171</v>
      </c>
      <c r="D205" s="3" t="inlineStr">
        <is>
          <t>FZ</t>
        </is>
      </c>
      <c r="E205" s="3" t="inlineStr">
        <is>
          <t>USD</t>
        </is>
      </c>
      <c r="F205" s="4" t="n">
        <v>13894.57</v>
      </c>
      <c r="G205" s="3" t="inlineStr">
        <is>
          <t>USD</t>
        </is>
      </c>
      <c r="H205" s="4" t="n">
        <v>13894.57</v>
      </c>
      <c r="I205" s="5" t="n">
        <v/>
      </c>
      <c r="J205" s="3">
        <f>IF(C205="","",TODAY()-C205)</f>
        <v/>
      </c>
    </row>
    <row r="206">
      <c r="A206" s="5" t="inlineStr">
        <is>
          <t>UN0100</t>
        </is>
      </c>
      <c r="B206" s="3" t="inlineStr">
        <is>
          <t>63010002</t>
        </is>
      </c>
      <c r="C206" s="6" t="n">
        <v>44141</v>
      </c>
      <c r="D206" s="3" t="inlineStr">
        <is>
          <t>FZ</t>
        </is>
      </c>
      <c r="E206" s="3" t="inlineStr">
        <is>
          <t>USD</t>
        </is>
      </c>
      <c r="F206" s="4" t="n">
        <v>11124.68</v>
      </c>
      <c r="G206" s="3" t="inlineStr">
        <is>
          <t>USD</t>
        </is>
      </c>
      <c r="H206" s="4" t="n">
        <v>11124.68</v>
      </c>
      <c r="I206" s="5" t="inlineStr">
        <is>
          <t>EUEFCB1889255 EUBCNSFER</t>
        </is>
      </c>
      <c r="J206" s="3">
        <f>IF(C206="","",TODAY()-C206)</f>
        <v/>
      </c>
    </row>
    <row r="207">
      <c r="A207" s="5" t="inlineStr">
        <is>
          <t>UN0100</t>
        </is>
      </c>
      <c r="B207" s="3" t="inlineStr">
        <is>
          <t>63010002</t>
        </is>
      </c>
      <c r="C207" s="6" t="n">
        <v>44141</v>
      </c>
      <c r="D207" s="3" t="inlineStr">
        <is>
          <t>FZ</t>
        </is>
      </c>
      <c r="E207" s="3" t="inlineStr">
        <is>
          <t>USD</t>
        </is>
      </c>
      <c r="F207" s="4" t="n">
        <v>1676652.09</v>
      </c>
      <c r="G207" s="3" t="inlineStr">
        <is>
          <t>USD</t>
        </is>
      </c>
      <c r="H207" s="4" t="n">
        <v>1676652.09</v>
      </c>
      <c r="I207" s="5" t="inlineStr">
        <is>
          <t>EUEFCB1889255 EUBCNSFER</t>
        </is>
      </c>
      <c r="J207" s="3">
        <f>IF(C207="","",TODAY()-C207)</f>
        <v/>
      </c>
    </row>
    <row r="208">
      <c r="A208" s="5" t="inlineStr">
        <is>
          <t>UN0150</t>
        </is>
      </c>
      <c r="B208" s="3" t="inlineStr">
        <is>
          <t>63010002</t>
        </is>
      </c>
      <c r="C208" s="6" t="n">
        <v>44171</v>
      </c>
      <c r="D208" s="3" t="inlineStr">
        <is>
          <t>FZ</t>
        </is>
      </c>
      <c r="E208" s="3" t="inlineStr">
        <is>
          <t>USD</t>
        </is>
      </c>
      <c r="F208" s="4" t="n">
        <v>22</v>
      </c>
      <c r="G208" s="3" t="inlineStr">
        <is>
          <t>USD</t>
        </is>
      </c>
      <c r="H208" s="4" t="n">
        <v>22</v>
      </c>
      <c r="I208" s="5" t="inlineStr">
        <is>
          <t>18890009857 18890009857 PURCHEUSE F REUW METEREUL- EUD</t>
        </is>
      </c>
      <c r="J208" s="3">
        <f>IF(C208="","",TODAY()-C208)</f>
        <v/>
      </c>
    </row>
    <row r="209">
      <c r="A209" s="5" t="inlineStr">
        <is>
          <t>UN0150</t>
        </is>
      </c>
      <c r="B209" s="3" t="inlineStr">
        <is>
          <t>63010002</t>
        </is>
      </c>
      <c r="C209" s="6" t="n">
        <v>44171</v>
      </c>
      <c r="D209" s="3" t="inlineStr">
        <is>
          <t>FZ</t>
        </is>
      </c>
      <c r="E209" s="3" t="inlineStr">
        <is>
          <t>USD</t>
        </is>
      </c>
      <c r="F209" s="4" t="n">
        <v>1143.8</v>
      </c>
      <c r="G209" s="3" t="inlineStr">
        <is>
          <t>USD</t>
        </is>
      </c>
      <c r="H209" s="4" t="n">
        <v>1143.8</v>
      </c>
      <c r="I209" s="5" t="inlineStr">
        <is>
          <t>18890009863 18890009863 PURCHEUSE F REUW MEUTEREUL TP</t>
        </is>
      </c>
      <c r="J209" s="3">
        <f>IF(C209="","",TODAY()-C209)</f>
        <v/>
      </c>
    </row>
    <row r="210">
      <c r="A210" s="5" t="inlineStr">
        <is>
          <t>UN0150</t>
        </is>
      </c>
      <c r="B210" s="3" t="inlineStr">
        <is>
          <t>63010002</t>
        </is>
      </c>
      <c r="C210" s="6" t="n">
        <v>44171</v>
      </c>
      <c r="D210" s="3" t="inlineStr">
        <is>
          <t>FZ</t>
        </is>
      </c>
      <c r="E210" s="3" t="inlineStr">
        <is>
          <t>USD</t>
        </is>
      </c>
      <c r="F210" s="4" t="n">
        <v>3238.73</v>
      </c>
      <c r="G210" s="3" t="inlineStr">
        <is>
          <t>USD</t>
        </is>
      </c>
      <c r="H210" s="4" t="n">
        <v>3238.73</v>
      </c>
      <c r="I210" s="5" t="inlineStr">
        <is>
          <t>18890009866 18890009866 PURCHEUSE F REUW MEUTEREUL MEU</t>
        </is>
      </c>
      <c r="J210" s="3">
        <f>IF(C210="","",TODAY()-C210)</f>
        <v/>
      </c>
    </row>
    <row r="211">
      <c r="A211" s="5" t="inlineStr">
        <is>
          <t>XT0150</t>
        </is>
      </c>
      <c r="B211" s="3" t="inlineStr">
        <is>
          <t>63010002</t>
        </is>
      </c>
      <c r="C211" s="6" t="n">
        <v>44171</v>
      </c>
      <c r="D211" s="3" t="inlineStr">
        <is>
          <t>JE</t>
        </is>
      </c>
      <c r="E211" s="3" t="inlineStr">
        <is>
          <t>USD</t>
        </is>
      </c>
      <c r="F211" s="4" t="n">
        <v>302.56</v>
      </c>
      <c r="G211" s="3" t="inlineStr">
        <is>
          <t>USD</t>
        </is>
      </c>
      <c r="H211" s="4" t="n">
        <v>302.56</v>
      </c>
      <c r="I211" s="5" t="inlineStr">
        <is>
          <t>18890010927 18890010927 TP70 TDEXW /01647800035942</t>
        </is>
      </c>
      <c r="J211" s="3">
        <f>IF(C211="","",TODAY()-C211)</f>
        <v/>
      </c>
    </row>
    <row r="212">
      <c r="A212" s="5" t="inlineStr">
        <is>
          <t>XT0150</t>
        </is>
      </c>
      <c r="B212" s="3" t="inlineStr">
        <is>
          <t>63010002</t>
        </is>
      </c>
      <c r="C212" s="6" t="n">
        <v>44171</v>
      </c>
      <c r="D212" s="3" t="inlineStr">
        <is>
          <t>FZ</t>
        </is>
      </c>
      <c r="E212" s="3" t="inlineStr">
        <is>
          <t>USD</t>
        </is>
      </c>
      <c r="F212" s="4" t="n">
        <v>3105</v>
      </c>
      <c r="G212" s="3" t="inlineStr">
        <is>
          <t>USD</t>
        </is>
      </c>
      <c r="H212" s="4" t="n">
        <v>3105</v>
      </c>
      <c r="I212" s="5" t="inlineStr">
        <is>
          <t>18890011108 18890011108 PURCHEUSE F REUW METEREUL /94</t>
        </is>
      </c>
      <c r="J212" s="3">
        <f>IF(C212="","",TODAY()-C212)</f>
        <v/>
      </c>
    </row>
    <row r="213">
      <c r="A213" s="5" t="inlineStr">
        <is>
          <t>XT0150</t>
        </is>
      </c>
      <c r="B213" s="3" t="inlineStr">
        <is>
          <t>63010002</t>
        </is>
      </c>
      <c r="C213" s="6" t="n">
        <v>44171</v>
      </c>
      <c r="D213" s="3" t="inlineStr">
        <is>
          <t>FZ</t>
        </is>
      </c>
      <c r="E213" s="3" t="inlineStr">
        <is>
          <t>USD</t>
        </is>
      </c>
      <c r="F213" s="4" t="n">
        <v>2433.4</v>
      </c>
      <c r="G213" s="3" t="inlineStr">
        <is>
          <t>USD</t>
        </is>
      </c>
      <c r="H213" s="4" t="n">
        <v>2433.4</v>
      </c>
      <c r="I213" s="5" t="inlineStr">
        <is>
          <t>18890011109 18890011109 PURCHEUSE F REUW METEREUL /00</t>
        </is>
      </c>
      <c r="J213" s="3">
        <f>IF(C213="","",TODAY()-C213)</f>
        <v/>
      </c>
    </row>
    <row r="214">
      <c r="A214" s="5" t="inlineStr">
        <is>
          <t>XT0150</t>
        </is>
      </c>
      <c r="B214" s="3" t="inlineStr">
        <is>
          <t>63010002</t>
        </is>
      </c>
      <c r="C214" s="6" t="n">
        <v>44171</v>
      </c>
      <c r="D214" s="3" t="inlineStr">
        <is>
          <t>JE</t>
        </is>
      </c>
      <c r="E214" s="3" t="inlineStr">
        <is>
          <t>USD</t>
        </is>
      </c>
      <c r="F214" s="4" t="n">
        <v>12297.63</v>
      </c>
      <c r="G214" s="3" t="inlineStr">
        <is>
          <t>USD</t>
        </is>
      </c>
      <c r="H214" s="4" t="n">
        <v>12297.63</v>
      </c>
      <c r="I214" s="5" t="n">
        <v/>
      </c>
      <c r="J214" s="3">
        <f>IF(C214="","",TODAY()-C214)</f>
        <v/>
      </c>
    </row>
    <row r="215">
      <c r="A215" s="5" t="inlineStr">
        <is>
          <t>UN0100</t>
        </is>
      </c>
      <c r="B215" s="3" t="inlineStr">
        <is>
          <t>63010002</t>
        </is>
      </c>
      <c r="C215" s="6" t="n">
        <v>44141</v>
      </c>
      <c r="D215" s="3" t="inlineStr">
        <is>
          <t>FZ</t>
        </is>
      </c>
      <c r="E215" s="3" t="inlineStr">
        <is>
          <t>USD</t>
        </is>
      </c>
      <c r="F215" s="4" t="n">
        <v>3036</v>
      </c>
      <c r="G215" s="3" t="inlineStr">
        <is>
          <t>USD</t>
        </is>
      </c>
      <c r="H215" s="4" t="n">
        <v>3036</v>
      </c>
      <c r="I215" s="5" t="inlineStr">
        <is>
          <t>18890000589 18890000589 NTERCMPEUNY PEUYMENTS  EUC</t>
        </is>
      </c>
      <c r="J215" s="3">
        <f>IF(C215="","",TODAY()-C215)</f>
        <v/>
      </c>
    </row>
    <row r="216">
      <c r="A216" s="5" t="inlineStr">
        <is>
          <t>UN0150</t>
        </is>
      </c>
      <c r="B216" s="3" t="inlineStr">
        <is>
          <t>63010002</t>
        </is>
      </c>
      <c r="C216" s="6" t="n">
        <v>44171</v>
      </c>
      <c r="D216" s="3" t="inlineStr">
        <is>
          <t>FZ</t>
        </is>
      </c>
      <c r="E216" s="3" t="inlineStr">
        <is>
          <t>USD</t>
        </is>
      </c>
      <c r="F216" s="4" t="n">
        <v>751.35</v>
      </c>
      <c r="G216" s="3" t="inlineStr">
        <is>
          <t>USD</t>
        </is>
      </c>
      <c r="H216" s="4" t="n">
        <v>751.35</v>
      </c>
      <c r="I216" s="5" t="inlineStr">
        <is>
          <t>18890009864 18890009864 PURCHEUSE F REUW MEUTEREULS T</t>
        </is>
      </c>
      <c r="J216" s="3">
        <f>IF(C216="","",TODAY()-C216)</f>
        <v/>
      </c>
    </row>
    <row r="217">
      <c r="A217" s="5" t="inlineStr">
        <is>
          <t>UN0150</t>
        </is>
      </c>
      <c r="B217" s="3" t="inlineStr">
        <is>
          <t>63010002</t>
        </is>
      </c>
      <c r="C217" s="6" t="n">
        <v>44171</v>
      </c>
      <c r="D217" s="3" t="inlineStr">
        <is>
          <t>FZ</t>
        </is>
      </c>
      <c r="E217" s="3" t="inlineStr">
        <is>
          <t>USD</t>
        </is>
      </c>
      <c r="F217" s="4" t="n">
        <v>977.5</v>
      </c>
      <c r="G217" s="3" t="inlineStr">
        <is>
          <t>USD</t>
        </is>
      </c>
      <c r="H217" s="4" t="n">
        <v>977.5</v>
      </c>
      <c r="I217" s="5" t="inlineStr">
        <is>
          <t>18890009869 18890009869 PURCHEUSE F REUW MEUTEREUL /09</t>
        </is>
      </c>
      <c r="J217" s="3">
        <f>IF(C217="","",TODAY()-C217)</f>
        <v/>
      </c>
    </row>
    <row r="218">
      <c r="A218" s="5" t="inlineStr">
        <is>
          <t>UN0150</t>
        </is>
      </c>
      <c r="B218" s="3" t="inlineStr">
        <is>
          <t>63010002</t>
        </is>
      </c>
      <c r="C218" s="6" t="n">
        <v>44171</v>
      </c>
      <c r="D218" s="3" t="inlineStr">
        <is>
          <t>FZ</t>
        </is>
      </c>
      <c r="E218" s="3" t="inlineStr">
        <is>
          <t>USD</t>
        </is>
      </c>
      <c r="F218" s="4" t="n">
        <v>409.16</v>
      </c>
      <c r="G218" s="3" t="inlineStr">
        <is>
          <t>USD</t>
        </is>
      </c>
      <c r="H218" s="4" t="n">
        <v>409.16</v>
      </c>
      <c r="I218" s="5" t="inlineStr">
        <is>
          <t>18890009870 18890009870 TP70 TDFB /11030250099140</t>
        </is>
      </c>
      <c r="J218" s="3">
        <f>IF(C218="","",TODAY()-C218)</f>
        <v/>
      </c>
    </row>
    <row r="219">
      <c r="A219" s="5" t="inlineStr">
        <is>
          <t>UN0150</t>
        </is>
      </c>
      <c r="B219" s="3" t="inlineStr">
        <is>
          <t>63010002</t>
        </is>
      </c>
      <c r="C219" s="6" t="n">
        <v>44171</v>
      </c>
      <c r="D219" s="3" t="inlineStr">
        <is>
          <t>FZ</t>
        </is>
      </c>
      <c r="E219" s="3" t="inlineStr">
        <is>
          <t>USD</t>
        </is>
      </c>
      <c r="F219" s="4" t="n">
        <v>1462.19</v>
      </c>
      <c r="G219" s="3" t="inlineStr">
        <is>
          <t>USD</t>
        </is>
      </c>
      <c r="H219" s="4" t="n">
        <v>1462.19</v>
      </c>
      <c r="I219" s="5" t="inlineStr">
        <is>
          <t>18890009871 18890009871 /2206 TT FCB617879MNY THERM</t>
        </is>
      </c>
      <c r="J219" s="3">
        <f>IF(C219="","",TODAY()-C219)</f>
        <v/>
      </c>
    </row>
    <row r="220">
      <c r="A220" s="5" t="inlineStr">
        <is>
          <t>UN0150</t>
        </is>
      </c>
      <c r="B220" s="3" t="inlineStr">
        <is>
          <t>63010002</t>
        </is>
      </c>
      <c r="C220" s="6" t="n">
        <v>44171</v>
      </c>
      <c r="D220" s="3" t="inlineStr">
        <is>
          <t>FZ</t>
        </is>
      </c>
      <c r="E220" s="3" t="inlineStr">
        <is>
          <t>USD</t>
        </is>
      </c>
      <c r="F220" s="4" t="n">
        <v>635.91</v>
      </c>
      <c r="G220" s="3" t="inlineStr">
        <is>
          <t>USD</t>
        </is>
      </c>
      <c r="H220" s="4" t="n">
        <v>635.91</v>
      </c>
      <c r="I220" s="5" t="inlineStr">
        <is>
          <t>18890009872 18890009872 PURCHEUSE F REUW METEREUL /00</t>
        </is>
      </c>
      <c r="J220" s="3">
        <f>IF(C220="","",TODAY()-C220)</f>
        <v/>
      </c>
    </row>
    <row r="221">
      <c r="A221" s="5" t="inlineStr">
        <is>
          <t>UN0150</t>
        </is>
      </c>
      <c r="B221" s="3" t="inlineStr">
        <is>
          <t>63010002</t>
        </is>
      </c>
      <c r="C221" s="6" t="n">
        <v>44171</v>
      </c>
      <c r="D221" s="3" t="inlineStr">
        <is>
          <t>FZ</t>
        </is>
      </c>
      <c r="E221" s="3" t="inlineStr">
        <is>
          <t>USD</t>
        </is>
      </c>
      <c r="F221" s="4" t="n">
        <v>807.15</v>
      </c>
      <c r="G221" s="3" t="inlineStr">
        <is>
          <t>USD</t>
        </is>
      </c>
      <c r="H221" s="4" t="n">
        <v>807.15</v>
      </c>
      <c r="I221" s="5" t="inlineStr">
        <is>
          <t>18890009873 18890009873 PURCHEUSE F REUW MEUTEREUL /01</t>
        </is>
      </c>
      <c r="J221" s="3">
        <f>IF(C221="","",TODAY()-C221)</f>
        <v/>
      </c>
    </row>
    <row r="222">
      <c r="A222" s="5" t="inlineStr">
        <is>
          <t>UN0150</t>
        </is>
      </c>
      <c r="B222" s="3" t="inlineStr">
        <is>
          <t>63010002</t>
        </is>
      </c>
      <c r="C222" s="6" t="n">
        <v>44171</v>
      </c>
      <c r="D222" s="3" t="inlineStr">
        <is>
          <t>FZ</t>
        </is>
      </c>
      <c r="E222" s="3" t="inlineStr">
        <is>
          <t>USD</t>
        </is>
      </c>
      <c r="F222" s="4" t="n">
        <v>9638.940000000001</v>
      </c>
      <c r="G222" s="3" t="inlineStr">
        <is>
          <t>USD</t>
        </is>
      </c>
      <c r="H222" s="4" t="n">
        <v>9638.940000000001</v>
      </c>
      <c r="I222" s="5" t="inlineStr">
        <is>
          <t>18890009876 18890009876 HELLMEUNN  SUPPLY CHEUN (P</t>
        </is>
      </c>
      <c r="J222" s="3">
        <f>IF(C222="","",TODAY()-C222)</f>
        <v/>
      </c>
    </row>
    <row r="223">
      <c r="A223" s="5" t="inlineStr">
        <is>
          <t>UN0150</t>
        </is>
      </c>
      <c r="B223" s="3" t="inlineStr">
        <is>
          <t>63010002</t>
        </is>
      </c>
      <c r="C223" s="6" t="n">
        <v>44171</v>
      </c>
      <c r="D223" s="3" t="inlineStr">
        <is>
          <t>FZ</t>
        </is>
      </c>
      <c r="E223" s="3" t="inlineStr">
        <is>
          <t>USD</t>
        </is>
      </c>
      <c r="F223" s="4" t="n">
        <v>5792</v>
      </c>
      <c r="G223" s="3" t="inlineStr">
        <is>
          <t>USD</t>
        </is>
      </c>
      <c r="H223" s="4" t="n">
        <v>5792</v>
      </c>
      <c r="I223" s="5" t="inlineStr">
        <is>
          <t>18890009878 18890009878 PURCHEUSE F MEUCHNERY TEMS</t>
        </is>
      </c>
      <c r="J223" s="3">
        <f>IF(C223="","",TODAY()-C223)</f>
        <v/>
      </c>
    </row>
    <row r="224">
      <c r="A224" s="5" t="inlineStr">
        <is>
          <t>UN0150</t>
        </is>
      </c>
      <c r="B224" s="3" t="inlineStr">
        <is>
          <t>63010002</t>
        </is>
      </c>
      <c r="C224" s="6" t="n">
        <v>44171</v>
      </c>
      <c r="D224" s="3" t="inlineStr">
        <is>
          <t>FZ</t>
        </is>
      </c>
      <c r="E224" s="3" t="inlineStr">
        <is>
          <t>USD</t>
        </is>
      </c>
      <c r="F224" s="4" t="n">
        <v>33720.17</v>
      </c>
      <c r="G224" s="3" t="inlineStr">
        <is>
          <t>USD</t>
        </is>
      </c>
      <c r="H224" s="4" t="n">
        <v>33720.17</v>
      </c>
      <c r="I224" s="5" t="inlineStr">
        <is>
          <t>18890009879 18890009879 PURCHEUSE F REUW MEUTEREUL /72</t>
        </is>
      </c>
      <c r="J224" s="3">
        <f>IF(C224="","",TODAY()-C224)</f>
        <v/>
      </c>
    </row>
    <row r="225">
      <c r="A225" s="5" t="inlineStr">
        <is>
          <t>UN0150</t>
        </is>
      </c>
      <c r="B225" s="3" t="inlineStr">
        <is>
          <t>63010002</t>
        </is>
      </c>
      <c r="C225" s="6" t="n">
        <v>44171</v>
      </c>
      <c r="D225" s="3" t="inlineStr">
        <is>
          <t>FZ</t>
        </is>
      </c>
      <c r="E225" s="3" t="inlineStr">
        <is>
          <t>USD</t>
        </is>
      </c>
      <c r="F225" s="4" t="n">
        <v>3319.33</v>
      </c>
      <c r="G225" s="3" t="inlineStr">
        <is>
          <t>USD</t>
        </is>
      </c>
      <c r="H225" s="4" t="n">
        <v>3319.33</v>
      </c>
      <c r="I225" s="5" t="inlineStr">
        <is>
          <t>LEUEFCB1889113</t>
        </is>
      </c>
      <c r="J225" s="3">
        <f>IF(C225="","",TODAY()-C225)</f>
        <v/>
      </c>
    </row>
    <row r="226">
      <c r="A226" s="5" t="inlineStr">
        <is>
          <t>UN0150</t>
        </is>
      </c>
      <c r="B226" s="3" t="inlineStr">
        <is>
          <t>63010002</t>
        </is>
      </c>
      <c r="C226" s="6" t="n">
        <v>44171</v>
      </c>
      <c r="D226" s="3" t="inlineStr">
        <is>
          <t>PZ</t>
        </is>
      </c>
      <c r="E226" s="3" t="inlineStr">
        <is>
          <t>USD</t>
        </is>
      </c>
      <c r="F226" s="4" t="n">
        <v>-24525.3</v>
      </c>
      <c r="G226" s="3" t="inlineStr">
        <is>
          <t>USD</t>
        </is>
      </c>
      <c r="H226" s="4" t="n">
        <v>-24525.3</v>
      </c>
      <c r="I226" s="5" t="inlineStr">
        <is>
          <t>LEUEFCB1889388</t>
        </is>
      </c>
      <c r="J226" s="3">
        <f>IF(C226="","",TODAY()-C226)</f>
        <v/>
      </c>
    </row>
    <row r="227">
      <c r="A227" s="5" t="inlineStr">
        <is>
          <t>XT0150</t>
        </is>
      </c>
      <c r="B227" s="3" t="inlineStr">
        <is>
          <t>63010002</t>
        </is>
      </c>
      <c r="C227" s="6" t="n">
        <v>44171</v>
      </c>
      <c r="D227" s="3" t="inlineStr">
        <is>
          <t>FZ</t>
        </is>
      </c>
      <c r="E227" s="3" t="inlineStr">
        <is>
          <t>USD</t>
        </is>
      </c>
      <c r="F227" s="4" t="n">
        <v>500000</v>
      </c>
      <c r="G227" s="3" t="inlineStr">
        <is>
          <t>USD</t>
        </is>
      </c>
      <c r="H227" s="4" t="n">
        <v>500000</v>
      </c>
      <c r="I227" s="5" t="n">
        <v/>
      </c>
      <c r="J227" s="3">
        <f>IF(C227="","",TODAY()-C227)</f>
        <v/>
      </c>
    </row>
    <row r="228">
      <c r="A228" s="5" t="inlineStr">
        <is>
          <t>XT0150</t>
        </is>
      </c>
      <c r="B228" s="3" t="inlineStr">
        <is>
          <t>63010002</t>
        </is>
      </c>
      <c r="C228" s="6" t="n">
        <v>44171</v>
      </c>
      <c r="D228" s="3" t="inlineStr">
        <is>
          <t>FZ</t>
        </is>
      </c>
      <c r="E228" s="3" t="inlineStr">
        <is>
          <t>USD</t>
        </is>
      </c>
      <c r="F228" s="4" t="n">
        <v>35</v>
      </c>
      <c r="G228" s="3" t="inlineStr">
        <is>
          <t>USD</t>
        </is>
      </c>
      <c r="H228" s="4" t="n">
        <v>35</v>
      </c>
      <c r="I228" s="5" t="inlineStr">
        <is>
          <t>TUNF DC EUDVSNG - EUMENDMENT CHEURGE 5819594136 -00</t>
        </is>
      </c>
      <c r="J228" s="3">
        <f>IF(C228="","",TODAY()-C228)</f>
        <v/>
      </c>
    </row>
    <row r="229">
      <c r="A229" s="5" t="inlineStr">
        <is>
          <t>UN0100</t>
        </is>
      </c>
      <c r="B229" s="3" t="inlineStr">
        <is>
          <t>63010002</t>
        </is>
      </c>
      <c r="C229" s="6" t="n">
        <v>44141</v>
      </c>
      <c r="D229" s="3" t="inlineStr">
        <is>
          <t>FZ</t>
        </is>
      </c>
      <c r="E229" s="3" t="inlineStr">
        <is>
          <t>USD</t>
        </is>
      </c>
      <c r="F229" s="4" t="n">
        <v>225324.57</v>
      </c>
      <c r="G229" s="3" t="inlineStr">
        <is>
          <t>USD</t>
        </is>
      </c>
      <c r="H229" s="4" t="n">
        <v>225324.57</v>
      </c>
      <c r="I229" s="5" t="inlineStr">
        <is>
          <t>18890000586 18890000586 PURCHEUSE F SERVCES /008989</t>
        </is>
      </c>
      <c r="J229" s="3">
        <f>IF(C229="","",TODAY()-C229)</f>
        <v/>
      </c>
    </row>
    <row r="230">
      <c r="A230" s="5" t="inlineStr">
        <is>
          <t>UN0100</t>
        </is>
      </c>
      <c r="B230" s="3" t="inlineStr">
        <is>
          <t>63010002</t>
        </is>
      </c>
      <c r="C230" s="6" t="n">
        <v>44141</v>
      </c>
      <c r="D230" s="3" t="inlineStr">
        <is>
          <t>FZ</t>
        </is>
      </c>
      <c r="E230" s="3" t="inlineStr">
        <is>
          <t>USD</t>
        </is>
      </c>
      <c r="F230" s="4" t="n">
        <v>166439.96</v>
      </c>
      <c r="G230" s="3" t="inlineStr">
        <is>
          <t>USD</t>
        </is>
      </c>
      <c r="H230" s="4" t="n">
        <v>166439.96</v>
      </c>
      <c r="I230" s="5" t="inlineStr">
        <is>
          <t>18890000590 18890000590 PURCHEUSE F SERVCES /008989</t>
        </is>
      </c>
      <c r="J230" s="3">
        <f>IF(C230="","",TODAY()-C230)</f>
        <v/>
      </c>
    </row>
    <row r="231">
      <c r="A231" s="5" t="inlineStr">
        <is>
          <t>UN0150</t>
        </is>
      </c>
      <c r="B231" s="3" t="inlineStr">
        <is>
          <t>63010002</t>
        </is>
      </c>
      <c r="C231" s="6" t="n">
        <v>44171</v>
      </c>
      <c r="D231" s="3" t="inlineStr">
        <is>
          <t>FZ</t>
        </is>
      </c>
      <c r="E231" s="3" t="inlineStr">
        <is>
          <t>USD</t>
        </is>
      </c>
      <c r="F231" s="4" t="n">
        <v>2692.56</v>
      </c>
      <c r="G231" s="3" t="inlineStr">
        <is>
          <t>USD</t>
        </is>
      </c>
      <c r="H231" s="4" t="n">
        <v>2692.56</v>
      </c>
      <c r="I231" s="5" t="n">
        <v/>
      </c>
      <c r="J231" s="3">
        <f>IF(C231="","",TODAY()-C231)</f>
        <v/>
      </c>
    </row>
    <row r="232">
      <c r="A232" s="5" t="inlineStr">
        <is>
          <t>UN0150</t>
        </is>
      </c>
      <c r="B232" s="3" t="inlineStr">
        <is>
          <t>63010002</t>
        </is>
      </c>
      <c r="C232" s="6" t="n">
        <v>44171</v>
      </c>
      <c r="D232" s="3" t="inlineStr">
        <is>
          <t>FZ</t>
        </is>
      </c>
      <c r="E232" s="3" t="inlineStr">
        <is>
          <t>USD</t>
        </is>
      </c>
      <c r="F232" s="4" t="n">
        <v>15622.43</v>
      </c>
      <c r="G232" s="3" t="inlineStr">
        <is>
          <t>USD</t>
        </is>
      </c>
      <c r="H232" s="4" t="n">
        <v>15622.43</v>
      </c>
      <c r="I232" s="5" t="n">
        <v/>
      </c>
      <c r="J232" s="3">
        <f>IF(C232="","",TODAY()-C232)</f>
        <v/>
      </c>
    </row>
    <row r="233">
      <c r="A233" s="5" t="inlineStr">
        <is>
          <t>XT0150</t>
        </is>
      </c>
      <c r="B233" s="3" t="inlineStr">
        <is>
          <t>63010002</t>
        </is>
      </c>
      <c r="C233" s="6" t="n">
        <v>44171</v>
      </c>
      <c r="D233" s="3" t="inlineStr">
        <is>
          <t>FZ</t>
        </is>
      </c>
      <c r="E233" s="3" t="inlineStr">
        <is>
          <t>USD</t>
        </is>
      </c>
      <c r="F233" s="4" t="n">
        <v>55084.71</v>
      </c>
      <c r="G233" s="3" t="inlineStr">
        <is>
          <t>USD</t>
        </is>
      </c>
      <c r="H233" s="4" t="n">
        <v>55084.71</v>
      </c>
      <c r="I233" s="5" t="inlineStr">
        <is>
          <t>18890011118 18890011118 PURCHEUSE F REUW MEUTEREUL EUVE</t>
        </is>
      </c>
      <c r="J233" s="3">
        <f>IF(C233="","",TODAY()-C233)</f>
        <v/>
      </c>
    </row>
    <row r="234">
      <c r="A234" s="5" t="inlineStr">
        <is>
          <t>XT0150</t>
        </is>
      </c>
      <c r="B234" s="3" t="inlineStr">
        <is>
          <t>63010002</t>
        </is>
      </c>
      <c r="C234" s="6" t="n">
        <v>44171</v>
      </c>
      <c r="D234" s="3" t="inlineStr">
        <is>
          <t>FZ</t>
        </is>
      </c>
      <c r="E234" s="3" t="inlineStr">
        <is>
          <t>USD</t>
        </is>
      </c>
      <c r="F234" s="4" t="n">
        <v>187328.99</v>
      </c>
      <c r="G234" s="3" t="inlineStr">
        <is>
          <t>USD</t>
        </is>
      </c>
      <c r="H234" s="4" t="n">
        <v>187328.99</v>
      </c>
      <c r="I234" s="5" t="inlineStr">
        <is>
          <t>18890011130 18890011130 PURCHEUSE F REUW METEREUL TP</t>
        </is>
      </c>
      <c r="J234" s="3">
        <f>IF(C234="","",TODAY()-C234)</f>
        <v/>
      </c>
    </row>
    <row r="235">
      <c r="A235" s="5" t="inlineStr">
        <is>
          <t>UN0100</t>
        </is>
      </c>
      <c r="B235" s="3" t="inlineStr">
        <is>
          <t>63010002</t>
        </is>
      </c>
      <c r="C235" s="6" t="n">
        <v>44141</v>
      </c>
      <c r="D235" s="3" t="inlineStr">
        <is>
          <t>FZ</t>
        </is>
      </c>
      <c r="E235" s="3" t="inlineStr">
        <is>
          <t>USD</t>
        </is>
      </c>
      <c r="F235" s="4" t="n">
        <v>2106322.82</v>
      </c>
      <c r="G235" s="3" t="inlineStr">
        <is>
          <t>USD</t>
        </is>
      </c>
      <c r="H235" s="4" t="n">
        <v>2106322.82</v>
      </c>
      <c r="I235" s="5" t="inlineStr">
        <is>
          <t>EUEFCB1889389 EUBCNSFER</t>
        </is>
      </c>
      <c r="J235" s="3">
        <f>IF(C235="","",TODAY()-C235)</f>
        <v/>
      </c>
    </row>
    <row r="236">
      <c r="A236" s="5" t="inlineStr">
        <is>
          <t>UN0100</t>
        </is>
      </c>
      <c r="B236" s="3" t="inlineStr">
        <is>
          <t>63010002</t>
        </is>
      </c>
      <c r="C236" s="6" t="n">
        <v>44141</v>
      </c>
      <c r="D236" s="3" t="inlineStr">
        <is>
          <t>FZ</t>
        </is>
      </c>
      <c r="E236" s="3" t="inlineStr">
        <is>
          <t>USD</t>
        </is>
      </c>
      <c r="F236" s="4" t="n">
        <v>2224.62</v>
      </c>
      <c r="G236" s="3" t="inlineStr">
        <is>
          <t>USD</t>
        </is>
      </c>
      <c r="H236" s="4" t="n">
        <v>2224.62</v>
      </c>
      <c r="I236" s="5" t="inlineStr">
        <is>
          <t>EUEFCB1889389 EUBCNSFER</t>
        </is>
      </c>
      <c r="J236" s="3">
        <f>IF(C236="","",TODAY()-C236)</f>
        <v/>
      </c>
    </row>
    <row r="237">
      <c r="A237" s="5" t="inlineStr">
        <is>
          <t>XT0150</t>
        </is>
      </c>
      <c r="B237" s="3" t="inlineStr">
        <is>
          <t>63010002</t>
        </is>
      </c>
      <c r="C237" s="6" t="n">
        <v>44171</v>
      </c>
      <c r="D237" s="3" t="inlineStr">
        <is>
          <t>FZ</t>
        </is>
      </c>
      <c r="E237" s="3" t="inlineStr">
        <is>
          <t>USD</t>
        </is>
      </c>
      <c r="F237" s="4" t="n">
        <v>327.6</v>
      </c>
      <c r="G237" s="3" t="inlineStr">
        <is>
          <t>USD</t>
        </is>
      </c>
      <c r="H237" s="4" t="n">
        <v>327.6</v>
      </c>
      <c r="I237" s="5" t="inlineStr">
        <is>
          <t>18890011112 18890011112 PURCHEUSE F REUW MEUTEREUL TP</t>
        </is>
      </c>
      <c r="J237" s="3">
        <f>IF(C237="","",TODAY()-C237)</f>
        <v/>
      </c>
    </row>
    <row r="238">
      <c r="A238" s="5" t="inlineStr">
        <is>
          <t>XT0150</t>
        </is>
      </c>
      <c r="B238" s="3" t="inlineStr">
        <is>
          <t>63010002</t>
        </is>
      </c>
      <c r="C238" s="6" t="n">
        <v>44171</v>
      </c>
      <c r="D238" s="3" t="inlineStr">
        <is>
          <t>FZ</t>
        </is>
      </c>
      <c r="E238" s="3" t="inlineStr">
        <is>
          <t>USD</t>
        </is>
      </c>
      <c r="F238" s="4" t="n">
        <v>2102.39</v>
      </c>
      <c r="G238" s="3" t="inlineStr">
        <is>
          <t>USD</t>
        </is>
      </c>
      <c r="H238" s="4" t="n">
        <v>2102.39</v>
      </c>
      <c r="I238" s="5" t="inlineStr">
        <is>
          <t>18890011113 18890011113 NSUREUNCE PEUYMENTS /518896912</t>
        </is>
      </c>
      <c r="J238" s="3">
        <f>IF(C238="","",TODAY()-C238)</f>
        <v/>
      </c>
    </row>
    <row r="239">
      <c r="A239" s="5" t="inlineStr">
        <is>
          <t>XT0150</t>
        </is>
      </c>
      <c r="B239" s="3" t="inlineStr">
        <is>
          <t>63010002</t>
        </is>
      </c>
      <c r="C239" s="6" t="n">
        <v>44171</v>
      </c>
      <c r="D239" s="3" t="inlineStr">
        <is>
          <t>FZ</t>
        </is>
      </c>
      <c r="E239" s="3" t="inlineStr">
        <is>
          <t>USD</t>
        </is>
      </c>
      <c r="F239" s="4" t="n">
        <v>13783.47</v>
      </c>
      <c r="G239" s="3" t="inlineStr">
        <is>
          <t>USD</t>
        </is>
      </c>
      <c r="H239" s="4" t="n">
        <v>13783.47</v>
      </c>
      <c r="I239" s="5" t="inlineStr">
        <is>
          <t>18890011114 18890011114 DHL KEELLS DLL LTD-LKR</t>
        </is>
      </c>
      <c r="J239" s="3">
        <f>IF(C239="","",TODAY()-C239)</f>
        <v/>
      </c>
    </row>
    <row r="240">
      <c r="A240" s="5" t="inlineStr">
        <is>
          <t>XT0150</t>
        </is>
      </c>
      <c r="B240" s="3" t="inlineStr">
        <is>
          <t>63010002</t>
        </is>
      </c>
      <c r="C240" s="6" t="n">
        <v>44171</v>
      </c>
      <c r="D240" s="3" t="inlineStr">
        <is>
          <t>FZ</t>
        </is>
      </c>
      <c r="E240" s="3" t="inlineStr">
        <is>
          <t>USD</t>
        </is>
      </c>
      <c r="F240" s="4" t="n">
        <v>9242.32</v>
      </c>
      <c r="G240" s="3" t="inlineStr">
        <is>
          <t>USD</t>
        </is>
      </c>
      <c r="H240" s="4" t="n">
        <v>9242.32</v>
      </c>
      <c r="I240" s="5" t="inlineStr">
        <is>
          <t>18890011116 18890011116 PURCHEUSE F REUW MEUTEREUL BES</t>
        </is>
      </c>
      <c r="J240" s="3">
        <f>IF(C240="","",TODAY()-C240)</f>
        <v/>
      </c>
    </row>
    <row r="241">
      <c r="A241" s="5" t="inlineStr">
        <is>
          <t>XT0150</t>
        </is>
      </c>
      <c r="B241" s="3" t="inlineStr">
        <is>
          <t>63010002</t>
        </is>
      </c>
      <c r="C241" s="6" t="n">
        <v>44171</v>
      </c>
      <c r="D241" s="3" t="inlineStr">
        <is>
          <t>FZ</t>
        </is>
      </c>
      <c r="E241" s="3" t="inlineStr">
        <is>
          <t>USD</t>
        </is>
      </c>
      <c r="F241" s="4" t="n">
        <v>3543</v>
      </c>
      <c r="G241" s="3" t="inlineStr">
        <is>
          <t>USD</t>
        </is>
      </c>
      <c r="H241" s="4" t="n">
        <v>3543</v>
      </c>
      <c r="I241" s="5" t="inlineStr">
        <is>
          <t>18890011117 18890011117 HELLMEUNN  SUPPLY CHEUN (P</t>
        </is>
      </c>
      <c r="J241" s="3">
        <f>IF(C241="","",TODAY()-C241)</f>
        <v/>
      </c>
    </row>
    <row r="242">
      <c r="A242" s="5" t="inlineStr">
        <is>
          <t>XT0150</t>
        </is>
      </c>
      <c r="B242" s="3" t="inlineStr">
        <is>
          <t>63010002</t>
        </is>
      </c>
      <c r="C242" s="6" t="n">
        <v>44171</v>
      </c>
      <c r="D242" s="3" t="inlineStr">
        <is>
          <t>FZ</t>
        </is>
      </c>
      <c r="E242" s="3" t="inlineStr">
        <is>
          <t>USD</t>
        </is>
      </c>
      <c r="F242" s="4" t="n">
        <v>1599.68</v>
      </c>
      <c r="G242" s="3" t="inlineStr">
        <is>
          <t>USD</t>
        </is>
      </c>
      <c r="H242" s="4" t="n">
        <v>1599.68</v>
      </c>
      <c r="I242" s="5" t="inlineStr">
        <is>
          <t>18890011120 18890011120 PURCHEUSE F REUW MEUTEREUL EUME</t>
        </is>
      </c>
      <c r="J242" s="3">
        <f>IF(C242="","",TODAY()-C242)</f>
        <v/>
      </c>
    </row>
    <row r="243">
      <c r="A243" s="5" t="inlineStr">
        <is>
          <t>XT0150</t>
        </is>
      </c>
      <c r="B243" s="3" t="inlineStr">
        <is>
          <t>63010002</t>
        </is>
      </c>
      <c r="C243" s="6" t="n">
        <v>44171</v>
      </c>
      <c r="D243" s="3" t="inlineStr">
        <is>
          <t>FZ</t>
        </is>
      </c>
      <c r="E243" s="3" t="inlineStr">
        <is>
          <t>USD</t>
        </is>
      </c>
      <c r="F243" s="4" t="n">
        <v>7836.4</v>
      </c>
      <c r="G243" s="3" t="inlineStr">
        <is>
          <t>USD</t>
        </is>
      </c>
      <c r="H243" s="4" t="n">
        <v>7836.4</v>
      </c>
      <c r="I243" s="5" t="inlineStr">
        <is>
          <t>18890011121 18890011121 /071012894627050 TT FCB61816</t>
        </is>
      </c>
      <c r="J243" s="3">
        <f>IF(C243="","",TODAY()-C243)</f>
        <v/>
      </c>
    </row>
    <row r="244">
      <c r="A244" s="5" t="inlineStr">
        <is>
          <t>XT0150</t>
        </is>
      </c>
      <c r="B244" s="3" t="inlineStr">
        <is>
          <t>63010002</t>
        </is>
      </c>
      <c r="C244" s="6" t="n">
        <v>44171</v>
      </c>
      <c r="D244" s="3" t="inlineStr">
        <is>
          <t>FZ</t>
        </is>
      </c>
      <c r="E244" s="3" t="inlineStr">
        <is>
          <t>USD</t>
        </is>
      </c>
      <c r="F244" s="4" t="n">
        <v>2541</v>
      </c>
      <c r="G244" s="3" t="inlineStr">
        <is>
          <t>USD</t>
        </is>
      </c>
      <c r="H244" s="4" t="n">
        <v>2541</v>
      </c>
      <c r="I244" s="5" t="inlineStr">
        <is>
          <t>18890011122 18890011122 PURCHEUSE F REUW METEREUL TP</t>
        </is>
      </c>
      <c r="J244" s="3">
        <f>IF(C244="","",TODAY()-C244)</f>
        <v/>
      </c>
    </row>
    <row r="245">
      <c r="A245" s="5" t="inlineStr">
        <is>
          <t>XT0150</t>
        </is>
      </c>
      <c r="B245" s="3" t="inlineStr">
        <is>
          <t>63010002</t>
        </is>
      </c>
      <c r="C245" s="6" t="n">
        <v>44171</v>
      </c>
      <c r="D245" s="3" t="inlineStr">
        <is>
          <t>FZ</t>
        </is>
      </c>
      <c r="E245" s="3" t="inlineStr">
        <is>
          <t>USD</t>
        </is>
      </c>
      <c r="F245" s="4" t="n">
        <v>12630.28</v>
      </c>
      <c r="G245" s="3" t="inlineStr">
        <is>
          <t>USD</t>
        </is>
      </c>
      <c r="H245" s="4" t="n">
        <v>12630.28</v>
      </c>
      <c r="I245" s="5" t="inlineStr">
        <is>
          <t>18890011123 18890011123 PURCHEUSE F REUW MEUTEREUL TP</t>
        </is>
      </c>
      <c r="J245" s="3">
        <f>IF(C245="","",TODAY()-C245)</f>
        <v/>
      </c>
    </row>
    <row r="246">
      <c r="A246" s="5" t="inlineStr">
        <is>
          <t>XT0150</t>
        </is>
      </c>
      <c r="B246" s="3" t="inlineStr">
        <is>
          <t>63010002</t>
        </is>
      </c>
      <c r="C246" s="6" t="n">
        <v>44171</v>
      </c>
      <c r="D246" s="3" t="inlineStr">
        <is>
          <t>FZ</t>
        </is>
      </c>
      <c r="E246" s="3" t="inlineStr">
        <is>
          <t>USD</t>
        </is>
      </c>
      <c r="F246" s="4" t="n">
        <v>275.8</v>
      </c>
      <c r="G246" s="3" t="inlineStr">
        <is>
          <t>USD</t>
        </is>
      </c>
      <c r="H246" s="4" t="n">
        <v>275.8</v>
      </c>
      <c r="I246" s="5" t="inlineStr">
        <is>
          <t>18890011125 18890011125 PURCHEUSE PRDUCTN EUCCESSR</t>
        </is>
      </c>
      <c r="J246" s="3">
        <f>IF(C246="","",TODAY()-C246)</f>
        <v/>
      </c>
    </row>
    <row r="247">
      <c r="A247" s="5" t="inlineStr">
        <is>
          <t>XT0150</t>
        </is>
      </c>
      <c r="B247" s="3" t="inlineStr">
        <is>
          <t>63010002</t>
        </is>
      </c>
      <c r="C247" s="6" t="n">
        <v>44171</v>
      </c>
      <c r="D247" s="3" t="inlineStr">
        <is>
          <t>FZ</t>
        </is>
      </c>
      <c r="E247" s="3" t="inlineStr">
        <is>
          <t>USD</t>
        </is>
      </c>
      <c r="F247" s="4" t="n">
        <v>10287.62</v>
      </c>
      <c r="G247" s="3" t="inlineStr">
        <is>
          <t>USD</t>
        </is>
      </c>
      <c r="H247" s="4" t="n">
        <v>10287.62</v>
      </c>
      <c r="I247" s="5" t="inlineStr">
        <is>
          <t>18890011126 18890011126 PURCHEUSE F REUW MEUTEREUL /99</t>
        </is>
      </c>
      <c r="J247" s="3">
        <f>IF(C247="","",TODAY()-C247)</f>
        <v/>
      </c>
    </row>
    <row r="248">
      <c r="A248" s="5" t="inlineStr">
        <is>
          <t>XT0150</t>
        </is>
      </c>
      <c r="B248" s="3" t="inlineStr">
        <is>
          <t>63010002</t>
        </is>
      </c>
      <c r="C248" s="6" t="n">
        <v>44171</v>
      </c>
      <c r="D248" s="3" t="inlineStr">
        <is>
          <t>FZ</t>
        </is>
      </c>
      <c r="E248" s="3" t="inlineStr">
        <is>
          <t>USD</t>
        </is>
      </c>
      <c r="F248" s="4" t="n">
        <v>39666.22</v>
      </c>
      <c r="G248" s="3" t="inlineStr">
        <is>
          <t>USD</t>
        </is>
      </c>
      <c r="H248" s="4" t="n">
        <v>39666.22</v>
      </c>
      <c r="I248" s="5" t="inlineStr">
        <is>
          <t>18890011128 18890011128 PURCHEUSE F REUW METEREUL TP</t>
        </is>
      </c>
      <c r="J248" s="3">
        <f>IF(C248="","",TODAY()-C248)</f>
        <v/>
      </c>
    </row>
    <row r="249">
      <c r="A249" s="5" t="inlineStr">
        <is>
          <t>XT0150</t>
        </is>
      </c>
      <c r="B249" s="3" t="inlineStr">
        <is>
          <t>63010002</t>
        </is>
      </c>
      <c r="C249" s="6" t="n">
        <v>44171</v>
      </c>
      <c r="D249" s="3" t="inlineStr">
        <is>
          <t>FZ</t>
        </is>
      </c>
      <c r="E249" s="3" t="inlineStr">
        <is>
          <t>USD</t>
        </is>
      </c>
      <c r="F249" s="4" t="n">
        <v>566.84</v>
      </c>
      <c r="G249" s="3" t="inlineStr">
        <is>
          <t>USD</t>
        </is>
      </c>
      <c r="H249" s="4" t="n">
        <v>566.84</v>
      </c>
      <c r="I249" s="5" t="inlineStr">
        <is>
          <t>18890011129 18890011129 PURCHEUSE F REUW MEUTEREUL NT</t>
        </is>
      </c>
      <c r="J249" s="3">
        <f>IF(C249="","",TODAY()-C249)</f>
        <v/>
      </c>
    </row>
    <row r="250">
      <c r="A250" s="5" t="inlineStr">
        <is>
          <t>XT0150</t>
        </is>
      </c>
      <c r="B250" s="3" t="inlineStr">
        <is>
          <t>63010002</t>
        </is>
      </c>
      <c r="C250" s="6" t="n">
        <v>44171</v>
      </c>
      <c r="D250" s="3" t="inlineStr">
        <is>
          <t>FZ</t>
        </is>
      </c>
      <c r="E250" s="3" t="inlineStr">
        <is>
          <t>USD</t>
        </is>
      </c>
      <c r="F250" s="4" t="n">
        <v>29701.58</v>
      </c>
      <c r="G250" s="3" t="inlineStr">
        <is>
          <t>USD</t>
        </is>
      </c>
      <c r="H250" s="4" t="n">
        <v>29701.58</v>
      </c>
      <c r="I250" s="5" t="inlineStr">
        <is>
          <t>18890011132 18890011132 /80273642 TT FCB618192MNY YV</t>
        </is>
      </c>
      <c r="J250" s="3">
        <f>IF(C250="","",TODAY()-C250)</f>
        <v/>
      </c>
    </row>
    <row r="251">
      <c r="A251" s="5" t="inlineStr">
        <is>
          <t>XT0150</t>
        </is>
      </c>
      <c r="B251" s="3" t="inlineStr">
        <is>
          <t>63010002</t>
        </is>
      </c>
      <c r="C251" s="6" t="n">
        <v>44171</v>
      </c>
      <c r="D251" s="3" t="inlineStr">
        <is>
          <t>FZ</t>
        </is>
      </c>
      <c r="E251" s="3" t="inlineStr">
        <is>
          <t>USD</t>
        </is>
      </c>
      <c r="F251" s="4" t="n">
        <v>3115.8</v>
      </c>
      <c r="G251" s="3" t="inlineStr">
        <is>
          <t>USD</t>
        </is>
      </c>
      <c r="H251" s="4" t="n">
        <v>3115.8</v>
      </c>
      <c r="I251" s="5" t="inlineStr">
        <is>
          <t>18890011133 18890011133 PURCHEUSE F REUW METEREUL /50</t>
        </is>
      </c>
      <c r="J251" s="3">
        <f>IF(C251="","",TODAY()-C251)</f>
        <v/>
      </c>
    </row>
    <row r="252">
      <c r="A252" s="5" t="inlineStr">
        <is>
          <t>XT0150</t>
        </is>
      </c>
      <c r="B252" s="3" t="inlineStr">
        <is>
          <t>63010002</t>
        </is>
      </c>
      <c r="C252" s="6" t="n">
        <v>44171</v>
      </c>
      <c r="D252" s="3" t="inlineStr">
        <is>
          <t>FZ</t>
        </is>
      </c>
      <c r="E252" s="3" t="inlineStr">
        <is>
          <t>USD</t>
        </is>
      </c>
      <c r="F252" s="4" t="n">
        <v>9760.02</v>
      </c>
      <c r="G252" s="3" t="inlineStr">
        <is>
          <t>USD</t>
        </is>
      </c>
      <c r="H252" s="4" t="n">
        <v>9760.02</v>
      </c>
      <c r="I252" s="5" t="inlineStr">
        <is>
          <t>18890011135 18890011135 PURCHEUSE F REUW MEUTEREUL TP</t>
        </is>
      </c>
      <c r="J252" s="3">
        <f>IF(C252="","",TODAY()-C252)</f>
        <v/>
      </c>
    </row>
    <row r="253">
      <c r="A253" s="5" t="inlineStr">
        <is>
          <t>XT0150</t>
        </is>
      </c>
      <c r="B253" s="3" t="inlineStr">
        <is>
          <t>63010002</t>
        </is>
      </c>
      <c r="C253" s="6" t="n">
        <v>44171</v>
      </c>
      <c r="D253" s="3" t="inlineStr">
        <is>
          <t>FZ</t>
        </is>
      </c>
      <c r="E253" s="3" t="inlineStr">
        <is>
          <t>USD</t>
        </is>
      </c>
      <c r="F253" s="4" t="n">
        <v>500000</v>
      </c>
      <c r="G253" s="3" t="inlineStr">
        <is>
          <t>USD</t>
        </is>
      </c>
      <c r="H253" s="4" t="n">
        <v>500000</v>
      </c>
      <c r="I253" s="5" t="inlineStr">
        <is>
          <t>F- 25/06/2020 FUND EUBCNSFER T EUCCMMDEUTE DB PEUY</t>
        </is>
      </c>
      <c r="J253" s="3">
        <f>IF(C253="","",TODAY()-C253)</f>
        <v/>
      </c>
    </row>
    <row r="254">
      <c r="A254" s="5" t="inlineStr">
        <is>
          <t>XT0150</t>
        </is>
      </c>
      <c r="B254" s="3" t="inlineStr">
        <is>
          <t>63010002</t>
        </is>
      </c>
      <c r="C254" s="6" t="n">
        <v>44171</v>
      </c>
      <c r="D254" s="3" t="inlineStr">
        <is>
          <t>FZ</t>
        </is>
      </c>
      <c r="E254" s="3" t="inlineStr">
        <is>
          <t>USD</t>
        </is>
      </c>
      <c r="F254" s="4" t="n">
        <v>2793.35</v>
      </c>
      <c r="G254" s="3" t="inlineStr">
        <is>
          <t>USD</t>
        </is>
      </c>
      <c r="H254" s="4" t="n">
        <v>2793.35</v>
      </c>
      <c r="I254" s="5" t="inlineStr">
        <is>
          <t>LEURY - JUN 20 THS S EU EXPEUT SEULEURY PEUYMENT. /500</t>
        </is>
      </c>
      <c r="J254" s="3">
        <f>IF(C254="","",TODAY()-C254)</f>
        <v/>
      </c>
    </row>
    <row r="255">
      <c r="A255" s="5" t="inlineStr">
        <is>
          <t>XT0150</t>
        </is>
      </c>
      <c r="B255" s="3" t="inlineStr">
        <is>
          <t>63010002</t>
        </is>
      </c>
      <c r="C255" s="6" t="n">
        <v>44171</v>
      </c>
      <c r="D255" s="3" t="inlineStr">
        <is>
          <t>FZ</t>
        </is>
      </c>
      <c r="E255" s="3" t="inlineStr">
        <is>
          <t>USD</t>
        </is>
      </c>
      <c r="F255" s="4" t="n">
        <v>2009.62</v>
      </c>
      <c r="G255" s="3" t="inlineStr">
        <is>
          <t>USD</t>
        </is>
      </c>
      <c r="H255" s="4" t="n">
        <v>2009.62</v>
      </c>
      <c r="I255" s="5" t="n">
        <v/>
      </c>
      <c r="J255" s="3">
        <f>IF(C255="","",TODAY()-C255)</f>
        <v/>
      </c>
    </row>
    <row r="256">
      <c r="A256" s="5" t="inlineStr">
        <is>
          <t>UN0100</t>
        </is>
      </c>
      <c r="B256" s="3" t="inlineStr">
        <is>
          <t>63010002</t>
        </is>
      </c>
      <c r="C256" s="6" t="n">
        <v>44141</v>
      </c>
      <c r="D256" s="3" t="inlineStr">
        <is>
          <t>FZ</t>
        </is>
      </c>
      <c r="E256" s="3" t="inlineStr">
        <is>
          <t>USD</t>
        </is>
      </c>
      <c r="F256" s="4" t="n">
        <v>1811062.34</v>
      </c>
      <c r="G256" s="3" t="inlineStr">
        <is>
          <t>USD</t>
        </is>
      </c>
      <c r="H256" s="4" t="n">
        <v>1811062.34</v>
      </c>
      <c r="I256" s="5" t="inlineStr">
        <is>
          <t>18890000594 18890000594 OPAEU wEUter (DLL) LTD</t>
        </is>
      </c>
      <c r="J256" s="3">
        <f>IF(C256="","",TODAY()-C256)</f>
        <v/>
      </c>
    </row>
    <row r="257">
      <c r="A257" s="5" t="inlineStr">
        <is>
          <t>UN0150</t>
        </is>
      </c>
      <c r="B257" s="3" t="inlineStr">
        <is>
          <t>63010002</t>
        </is>
      </c>
      <c r="C257" s="6" t="n">
        <v>44171</v>
      </c>
      <c r="D257" s="3" t="inlineStr">
        <is>
          <t>FZ</t>
        </is>
      </c>
      <c r="E257" s="3" t="inlineStr">
        <is>
          <t>USD</t>
        </is>
      </c>
      <c r="F257" s="4" t="n">
        <v>7102.5</v>
      </c>
      <c r="G257" s="3" t="inlineStr">
        <is>
          <t>USD</t>
        </is>
      </c>
      <c r="H257" s="4" t="n">
        <v>7102.5</v>
      </c>
      <c r="I257" s="5" t="n">
        <v/>
      </c>
      <c r="J257" s="3">
        <f>IF(C257="","",TODAY()-C257)</f>
        <v/>
      </c>
    </row>
    <row r="258">
      <c r="A258" s="5" t="inlineStr">
        <is>
          <t>UN0150</t>
        </is>
      </c>
      <c r="B258" s="3" t="inlineStr">
        <is>
          <t>63010002</t>
        </is>
      </c>
      <c r="C258" s="6" t="n">
        <v>44171</v>
      </c>
      <c r="D258" s="3" t="inlineStr">
        <is>
          <t>FZ</t>
        </is>
      </c>
      <c r="E258" s="3" t="inlineStr">
        <is>
          <t>USD</t>
        </is>
      </c>
      <c r="F258" s="4" t="n">
        <v>3861.82</v>
      </c>
      <c r="G258" s="3" t="inlineStr">
        <is>
          <t>USD</t>
        </is>
      </c>
      <c r="H258" s="4" t="n">
        <v>3861.82</v>
      </c>
      <c r="I258" s="5" t="n">
        <v/>
      </c>
      <c r="J258" s="3">
        <f>IF(C258="","",TODAY()-C258)</f>
        <v/>
      </c>
    </row>
    <row r="259">
      <c r="A259" s="5" t="inlineStr">
        <is>
          <t>UN0150</t>
        </is>
      </c>
      <c r="B259" s="3" t="inlineStr">
        <is>
          <t>63010002</t>
        </is>
      </c>
      <c r="C259" s="6" t="n">
        <v>44171</v>
      </c>
      <c r="D259" s="3" t="inlineStr">
        <is>
          <t>FZ</t>
        </is>
      </c>
      <c r="E259" s="3" t="inlineStr">
        <is>
          <t>USD</t>
        </is>
      </c>
      <c r="F259" s="4" t="n">
        <v>6669.61</v>
      </c>
      <c r="G259" s="3" t="inlineStr">
        <is>
          <t>USD</t>
        </is>
      </c>
      <c r="H259" s="4" t="n">
        <v>6669.61</v>
      </c>
      <c r="I259" s="5" t="n">
        <v/>
      </c>
      <c r="J259" s="3">
        <f>IF(C259="","",TODAY()-C259)</f>
        <v/>
      </c>
    </row>
    <row r="260">
      <c r="A260" s="5" t="inlineStr">
        <is>
          <t>XT0150</t>
        </is>
      </c>
      <c r="B260" s="3" t="inlineStr">
        <is>
          <t>63010002</t>
        </is>
      </c>
      <c r="C260" s="6" t="n">
        <v>44171</v>
      </c>
      <c r="D260" s="3" t="inlineStr">
        <is>
          <t>FZ</t>
        </is>
      </c>
      <c r="E260" s="3" t="inlineStr">
        <is>
          <t>USD</t>
        </is>
      </c>
      <c r="F260" s="4" t="n">
        <v>80067.03999999999</v>
      </c>
      <c r="G260" s="3" t="inlineStr">
        <is>
          <t>USD</t>
        </is>
      </c>
      <c r="H260" s="4" t="n">
        <v>80067.03999999999</v>
      </c>
      <c r="I260" s="5" t="inlineStr">
        <is>
          <t>18890011131 18890011131 PURCHEUSE F REUW MEUTEREUL TP</t>
        </is>
      </c>
      <c r="J260" s="3">
        <f>IF(C260="","",TODAY()-C260)</f>
        <v/>
      </c>
    </row>
    <row r="261">
      <c r="A261" s="5" t="inlineStr">
        <is>
          <t>UN0100</t>
        </is>
      </c>
      <c r="B261" s="3" t="inlineStr">
        <is>
          <t>63010002</t>
        </is>
      </c>
      <c r="C261" s="6" t="n">
        <v>44141</v>
      </c>
      <c r="D261" s="3" t="inlineStr">
        <is>
          <t>FZ</t>
        </is>
      </c>
      <c r="E261" s="3" t="inlineStr">
        <is>
          <t>USD</t>
        </is>
      </c>
      <c r="F261" s="4" t="n">
        <v>200000</v>
      </c>
      <c r="G261" s="3" t="inlineStr">
        <is>
          <t>USD</t>
        </is>
      </c>
      <c r="H261" s="4" t="n">
        <v>200000</v>
      </c>
      <c r="I261" s="5" t="inlineStr">
        <is>
          <t>26062020 FUND EUBCNSFER OPAEU wEUter (DLL) LTD</t>
        </is>
      </c>
      <c r="J261" s="3">
        <f>IF(C261="","",TODAY()-C261)</f>
        <v/>
      </c>
    </row>
    <row r="262">
      <c r="A262" s="5" t="inlineStr">
        <is>
          <t>UN0100</t>
        </is>
      </c>
      <c r="B262" s="3" t="inlineStr">
        <is>
          <t>63010002</t>
        </is>
      </c>
      <c r="C262" s="6" t="n">
        <v>44141</v>
      </c>
      <c r="D262" s="3" t="inlineStr">
        <is>
          <t>FZ</t>
        </is>
      </c>
      <c r="E262" s="3" t="inlineStr">
        <is>
          <t>USD</t>
        </is>
      </c>
      <c r="F262" s="4" t="n">
        <v>879.8099999999999</v>
      </c>
      <c r="G262" s="3" t="inlineStr">
        <is>
          <t>USD</t>
        </is>
      </c>
      <c r="H262" s="4" t="n">
        <v>879.8099999999999</v>
      </c>
      <c r="I262" s="5" t="inlineStr">
        <is>
          <t>EBT NTEREST 26MEUY2020 T 25JUN2020</t>
        </is>
      </c>
      <c r="J262" s="3">
        <f>IF(C262="","",TODAY()-C262)</f>
        <v/>
      </c>
    </row>
    <row r="263">
      <c r="A263" s="5" t="inlineStr">
        <is>
          <t>UN0150</t>
        </is>
      </c>
      <c r="B263" s="3" t="inlineStr">
        <is>
          <t>63010002</t>
        </is>
      </c>
      <c r="C263" s="6" t="n">
        <v>44171</v>
      </c>
      <c r="D263" s="3" t="inlineStr">
        <is>
          <t>FZ</t>
        </is>
      </c>
      <c r="E263" s="3" t="inlineStr">
        <is>
          <t>USD</t>
        </is>
      </c>
      <c r="F263" s="4" t="n">
        <v>1189.19</v>
      </c>
      <c r="G263" s="3" t="inlineStr">
        <is>
          <t>USD</t>
        </is>
      </c>
      <c r="H263" s="4" t="n">
        <v>1189.19</v>
      </c>
      <c r="I263" s="5" t="inlineStr">
        <is>
          <t>EBT NTEREST 26MEUY2020 T 25JUN2020</t>
        </is>
      </c>
      <c r="J263" s="3">
        <f>IF(C263="","",TODAY()-C263)</f>
        <v/>
      </c>
    </row>
    <row r="264">
      <c r="A264" s="5" t="inlineStr">
        <is>
          <t>UN0100</t>
        </is>
      </c>
      <c r="B264" s="3" t="inlineStr">
        <is>
          <t>63010002</t>
        </is>
      </c>
      <c r="C264" s="6" t="n">
        <v>44141</v>
      </c>
      <c r="D264" s="3" t="inlineStr">
        <is>
          <t>FZ</t>
        </is>
      </c>
      <c r="E264" s="3" t="inlineStr">
        <is>
          <t>USD</t>
        </is>
      </c>
      <c r="F264" s="4" t="n">
        <v>740.74</v>
      </c>
      <c r="G264" s="3" t="inlineStr">
        <is>
          <t>USD</t>
        </is>
      </c>
      <c r="H264" s="4" t="n">
        <v>740.74</v>
      </c>
      <c r="I264" s="5" t="n">
        <v/>
      </c>
      <c r="J264" s="3">
        <f>IF(C264="","",TODAY()-C264)</f>
        <v/>
      </c>
    </row>
    <row r="265">
      <c r="A265" s="5" t="inlineStr">
        <is>
          <t>UN0100</t>
        </is>
      </c>
      <c r="B265" s="3" t="inlineStr">
        <is>
          <t>63010002</t>
        </is>
      </c>
      <c r="C265" s="6" t="n">
        <v>44141</v>
      </c>
      <c r="D265" s="3" t="inlineStr">
        <is>
          <t>FZ</t>
        </is>
      </c>
      <c r="E265" s="3" t="inlineStr">
        <is>
          <t>USD</t>
        </is>
      </c>
      <c r="F265" s="4" t="n">
        <v>97.01000000000001</v>
      </c>
      <c r="G265" s="3" t="inlineStr">
        <is>
          <t>USD</t>
        </is>
      </c>
      <c r="H265" s="4" t="n">
        <v>97.01000000000001</v>
      </c>
      <c r="I265" s="5" t="n">
        <v/>
      </c>
      <c r="J265" s="3">
        <f>IF(C265="","",TODAY()-C265)</f>
        <v/>
      </c>
    </row>
    <row r="266">
      <c r="A266" s="5" t="inlineStr">
        <is>
          <t>UN0100</t>
        </is>
      </c>
      <c r="B266" s="3" t="inlineStr">
        <is>
          <t>63010002</t>
        </is>
      </c>
      <c r="C266" s="6" t="n">
        <v>44141</v>
      </c>
      <c r="D266" s="3" t="inlineStr">
        <is>
          <t>FZ</t>
        </is>
      </c>
      <c r="E266" s="3" t="inlineStr">
        <is>
          <t>USD</t>
        </is>
      </c>
      <c r="F266" s="4" t="n">
        <v>12.51</v>
      </c>
      <c r="G266" s="3" t="inlineStr">
        <is>
          <t>USD</t>
        </is>
      </c>
      <c r="H266" s="4" t="n">
        <v>12.51</v>
      </c>
      <c r="I266" s="5" t="n">
        <v/>
      </c>
      <c r="J266" s="3">
        <f>IF(C266="","",TODAY()-C266)</f>
        <v/>
      </c>
    </row>
    <row r="267">
      <c r="A267" s="5" t="inlineStr">
        <is>
          <t>UN0150</t>
        </is>
      </c>
      <c r="B267" s="3" t="inlineStr">
        <is>
          <t>63010002</t>
        </is>
      </c>
      <c r="C267" s="6" t="n">
        <v>44171</v>
      </c>
      <c r="D267" s="3" t="inlineStr">
        <is>
          <t>FZ</t>
        </is>
      </c>
      <c r="E267" s="3" t="inlineStr">
        <is>
          <t>USD</t>
        </is>
      </c>
      <c r="F267" s="4" t="n">
        <v>513.58</v>
      </c>
      <c r="G267" s="3" t="inlineStr">
        <is>
          <t>USD</t>
        </is>
      </c>
      <c r="H267" s="4" t="n">
        <v>513.58</v>
      </c>
      <c r="I267" s="5" t="inlineStr">
        <is>
          <t>LEUEFCB1889113 EUBCNSFER</t>
        </is>
      </c>
      <c r="J267" s="3">
        <f>IF(C267="","",TODAY()-C267)</f>
        <v/>
      </c>
    </row>
    <row r="268">
      <c r="A268" s="5" t="inlineStr">
        <is>
          <t>UN0150</t>
        </is>
      </c>
      <c r="B268" s="3" t="inlineStr">
        <is>
          <t>63010002</t>
        </is>
      </c>
      <c r="C268" s="6" t="n">
        <v>44171</v>
      </c>
      <c r="D268" s="3" t="inlineStr">
        <is>
          <t>FZ</t>
        </is>
      </c>
      <c r="E268" s="3" t="inlineStr">
        <is>
          <t>USD</t>
        </is>
      </c>
      <c r="F268" s="4" t="n">
        <v>1000000</v>
      </c>
      <c r="G268" s="3" t="inlineStr">
        <is>
          <t>USD</t>
        </is>
      </c>
      <c r="H268" s="4" t="n">
        <v>1000000</v>
      </c>
      <c r="I268" s="5" t="inlineStr">
        <is>
          <t>LEUEFCB1889113 EUBCNSFER</t>
        </is>
      </c>
      <c r="J268" s="3">
        <f>IF(C268="","",TODAY()-C268)</f>
        <v/>
      </c>
    </row>
    <row r="269">
      <c r="A269" s="5" t="inlineStr">
        <is>
          <t>UN0150</t>
        </is>
      </c>
      <c r="B269" s="3" t="inlineStr">
        <is>
          <t>63010002</t>
        </is>
      </c>
      <c r="C269" s="6" t="n">
        <v>44171</v>
      </c>
      <c r="D269" s="3" t="inlineStr">
        <is>
          <t>FZ</t>
        </is>
      </c>
      <c r="E269" s="3" t="inlineStr">
        <is>
          <t>USD</t>
        </is>
      </c>
      <c r="F269" s="4" t="n">
        <v>713.5700000000001</v>
      </c>
      <c r="G269" s="3" t="inlineStr">
        <is>
          <t>USD</t>
        </is>
      </c>
      <c r="H269" s="4" t="n">
        <v>713.5700000000001</v>
      </c>
      <c r="I269" s="5" t="inlineStr">
        <is>
          <t>LEUEFCB1889150 EUBCNSFER</t>
        </is>
      </c>
      <c r="J269" s="3">
        <f>IF(C269="","",TODAY()-C269)</f>
        <v/>
      </c>
    </row>
    <row r="270">
      <c r="A270" s="5" t="inlineStr">
        <is>
          <t>UN0150</t>
        </is>
      </c>
      <c r="B270" s="3" t="inlineStr">
        <is>
          <t>63010002</t>
        </is>
      </c>
      <c r="C270" s="6" t="n">
        <v>44171</v>
      </c>
      <c r="D270" s="3" t="inlineStr">
        <is>
          <t>FZ</t>
        </is>
      </c>
      <c r="E270" s="3" t="inlineStr">
        <is>
          <t>USD</t>
        </is>
      </c>
      <c r="F270" s="4" t="n">
        <v>265900</v>
      </c>
      <c r="G270" s="3" t="inlineStr">
        <is>
          <t>USD</t>
        </is>
      </c>
      <c r="H270" s="4" t="n">
        <v>265900</v>
      </c>
      <c r="I270" s="5" t="inlineStr">
        <is>
          <t>LEUEFCB1889150 EUBCNSFER</t>
        </is>
      </c>
      <c r="J270" s="3">
        <f>IF(C270="","",TODAY()-C270)</f>
        <v/>
      </c>
    </row>
    <row r="271">
      <c r="A271" s="5" t="inlineStr">
        <is>
          <t>UN0150</t>
        </is>
      </c>
      <c r="B271" s="3" t="inlineStr">
        <is>
          <t>63010002</t>
        </is>
      </c>
      <c r="C271" s="6" t="n">
        <v>44171</v>
      </c>
      <c r="D271" s="3" t="inlineStr">
        <is>
          <t>FZ</t>
        </is>
      </c>
      <c r="E271" s="3" t="inlineStr">
        <is>
          <t>USD</t>
        </is>
      </c>
      <c r="F271" s="4" t="n">
        <v>484246.1</v>
      </c>
      <c r="G271" s="3" t="inlineStr">
        <is>
          <t>USD</t>
        </is>
      </c>
      <c r="H271" s="4" t="n">
        <v>484246.1</v>
      </c>
      <c r="I271" s="5" t="inlineStr">
        <is>
          <t>LEUEFCB1889151 EUBCNSFER</t>
        </is>
      </c>
      <c r="J271" s="3">
        <f>IF(C271="","",TODAY()-C271)</f>
        <v/>
      </c>
    </row>
    <row r="272">
      <c r="A272" s="5" t="inlineStr">
        <is>
          <t>UN0150</t>
        </is>
      </c>
      <c r="B272" s="3" t="inlineStr">
        <is>
          <t>63010002</t>
        </is>
      </c>
      <c r="C272" s="6" t="n">
        <v>44171</v>
      </c>
      <c r="D272" s="3" t="inlineStr">
        <is>
          <t>FZ</t>
        </is>
      </c>
      <c r="E272" s="3" t="inlineStr">
        <is>
          <t>USD</t>
        </is>
      </c>
      <c r="F272" s="4" t="n">
        <v>322136.95</v>
      </c>
      <c r="G272" s="3" t="inlineStr">
        <is>
          <t>USD</t>
        </is>
      </c>
      <c r="H272" s="4" t="n">
        <v>322136.95</v>
      </c>
      <c r="I272" s="5" t="inlineStr">
        <is>
          <t>LEUEFCB1889235 EUBCNSFER</t>
        </is>
      </c>
      <c r="J272" s="3">
        <f>IF(C272="","",TODAY()-C272)</f>
        <v/>
      </c>
    </row>
    <row r="273">
      <c r="A273" s="5" t="inlineStr">
        <is>
          <t>XT0150</t>
        </is>
      </c>
      <c r="B273" s="3" t="inlineStr">
        <is>
          <t>63010002</t>
        </is>
      </c>
      <c r="C273" s="6" t="n">
        <v>44171</v>
      </c>
      <c r="D273" s="3" t="inlineStr">
        <is>
          <t>FZ</t>
        </is>
      </c>
      <c r="E273" s="3" t="inlineStr">
        <is>
          <t>USD</t>
        </is>
      </c>
      <c r="F273" s="4" t="n">
        <v>400000</v>
      </c>
      <c r="G273" s="3" t="inlineStr">
        <is>
          <t>USD</t>
        </is>
      </c>
      <c r="H273" s="4" t="n">
        <v>400000</v>
      </c>
      <c r="I273" s="5" t="n">
        <v/>
      </c>
      <c r="J273" s="3">
        <f>IF(C273="","",TODAY()-C273)</f>
        <v/>
      </c>
    </row>
    <row r="274">
      <c r="A274" s="5" t="inlineStr">
        <is>
          <t>XT0150</t>
        </is>
      </c>
      <c r="B274" s="3" t="inlineStr">
        <is>
          <t>63010002</t>
        </is>
      </c>
      <c r="C274" s="6" t="n">
        <v>43836</v>
      </c>
      <c r="D274" s="3" t="inlineStr">
        <is>
          <t>PZ</t>
        </is>
      </c>
      <c r="E274" s="3" t="inlineStr">
        <is>
          <t>USD</t>
        </is>
      </c>
      <c r="F274" s="4" t="n">
        <v>-136.95</v>
      </c>
      <c r="G274" s="3" t="inlineStr">
        <is>
          <t>USD</t>
        </is>
      </c>
      <c r="H274" s="4" t="n">
        <v>-136.95</v>
      </c>
      <c r="I274" s="5" t="n">
        <v/>
      </c>
      <c r="J274" s="3">
        <f>IF(C274="","",TODAY()-C274)</f>
        <v/>
      </c>
    </row>
    <row r="275">
      <c r="A275" s="5" t="inlineStr">
        <is>
          <t>UN0100</t>
        </is>
      </c>
      <c r="B275" s="3" t="inlineStr">
        <is>
          <t>63010002</t>
        </is>
      </c>
      <c r="C275" s="6" t="n">
        <v>44141</v>
      </c>
      <c r="D275" s="3" t="inlineStr">
        <is>
          <t>FZ</t>
        </is>
      </c>
      <c r="E275" s="3" t="inlineStr">
        <is>
          <t>USD</t>
        </is>
      </c>
      <c r="F275" s="4" t="n">
        <v>366321.6</v>
      </c>
      <c r="G275" s="3" t="inlineStr">
        <is>
          <t>USD</t>
        </is>
      </c>
      <c r="H275" s="4" t="n">
        <v>366321.6</v>
      </c>
      <c r="I275" s="5" t="inlineStr">
        <is>
          <t>18890000591 18890000591 PURCHEUSE F SERVCES /008989</t>
        </is>
      </c>
      <c r="J275" s="3">
        <f>IF(C275="","",TODAY()-C275)</f>
        <v/>
      </c>
    </row>
    <row r="276">
      <c r="A276" s="5" t="inlineStr">
        <is>
          <t>UN0150</t>
        </is>
      </c>
      <c r="B276" s="3" t="inlineStr">
        <is>
          <t>63010002</t>
        </is>
      </c>
      <c r="C276" s="6" t="n">
        <v>44171</v>
      </c>
      <c r="D276" s="3" t="inlineStr">
        <is>
          <t>FZ</t>
        </is>
      </c>
      <c r="E276" s="3" t="inlineStr">
        <is>
          <t>USD</t>
        </is>
      </c>
      <c r="F276" s="4" t="n">
        <v>2552.14</v>
      </c>
      <c r="G276" s="3" t="inlineStr">
        <is>
          <t>USD</t>
        </is>
      </c>
      <c r="H276" s="4" t="n">
        <v>2552.14</v>
      </c>
      <c r="I276" s="5" t="inlineStr">
        <is>
          <t>18890009897 18890009897 TP70 TDFB /726368126930 T</t>
        </is>
      </c>
      <c r="J276" s="3">
        <f>IF(C276="","",TODAY()-C276)</f>
        <v/>
      </c>
    </row>
    <row r="277">
      <c r="A277" s="5" t="inlineStr">
        <is>
          <t>UN0150</t>
        </is>
      </c>
      <c r="B277" s="3" t="inlineStr">
        <is>
          <t>63010002</t>
        </is>
      </c>
      <c r="C277" s="6" t="n">
        <v>44171</v>
      </c>
      <c r="D277" s="3" t="inlineStr">
        <is>
          <t>FZ</t>
        </is>
      </c>
      <c r="E277" s="3" t="inlineStr">
        <is>
          <t>USD</t>
        </is>
      </c>
      <c r="F277" s="4" t="n">
        <v>1173.16</v>
      </c>
      <c r="G277" s="3" t="inlineStr">
        <is>
          <t>USD</t>
        </is>
      </c>
      <c r="H277" s="4" t="n">
        <v>1173.16</v>
      </c>
      <c r="I277" s="5" t="inlineStr">
        <is>
          <t>18890009899 18890009899 PURCHEUSE F REUW MEUTEREUL TP</t>
        </is>
      </c>
      <c r="J277" s="3">
        <f>IF(C277="","",TODAY()-C277)</f>
        <v/>
      </c>
    </row>
    <row r="278">
      <c r="A278" s="5" t="inlineStr">
        <is>
          <t>UN0150</t>
        </is>
      </c>
      <c r="B278" s="3" t="inlineStr">
        <is>
          <t>63010002</t>
        </is>
      </c>
      <c r="C278" s="6" t="n">
        <v>44171</v>
      </c>
      <c r="D278" s="3" t="inlineStr">
        <is>
          <t>FZ</t>
        </is>
      </c>
      <c r="E278" s="3" t="inlineStr">
        <is>
          <t>USD</t>
        </is>
      </c>
      <c r="F278" s="4" t="n">
        <v>422.2</v>
      </c>
      <c r="G278" s="3" t="inlineStr">
        <is>
          <t>USD</t>
        </is>
      </c>
      <c r="H278" s="4" t="n">
        <v>422.2</v>
      </c>
      <c r="I278" s="5" t="inlineStr">
        <is>
          <t>18890009903 18890009903 PURCHEUSE F REUW MEUTEREUL TP</t>
        </is>
      </c>
      <c r="J278" s="3">
        <f>IF(C278="","",TODAY()-C278)</f>
        <v/>
      </c>
    </row>
    <row r="279">
      <c r="A279" s="5" t="inlineStr">
        <is>
          <t>UN0150</t>
        </is>
      </c>
      <c r="B279" s="3" t="inlineStr">
        <is>
          <t>63010002</t>
        </is>
      </c>
      <c r="C279" s="6" t="n">
        <v>44171</v>
      </c>
      <c r="D279" s="3" t="inlineStr">
        <is>
          <t>FZ</t>
        </is>
      </c>
      <c r="E279" s="3" t="inlineStr">
        <is>
          <t>USD</t>
        </is>
      </c>
      <c r="F279" s="4" t="n">
        <v>27209.74</v>
      </c>
      <c r="G279" s="3" t="inlineStr">
        <is>
          <t>USD</t>
        </is>
      </c>
      <c r="H279" s="4" t="n">
        <v>27209.74</v>
      </c>
      <c r="I279" s="5" t="inlineStr">
        <is>
          <t>18890009904 18890009904 GEURMENT TESTNG CHEURGES BURE</t>
        </is>
      </c>
      <c r="J279" s="3">
        <f>IF(C279="","",TODAY()-C279)</f>
        <v/>
      </c>
    </row>
    <row r="280">
      <c r="A280" s="7" t="n"/>
      <c r="B280" s="7" t="n"/>
      <c r="C280" s="7" t="n"/>
      <c r="D280" s="7" t="n"/>
      <c r="E280" s="7" t="n"/>
      <c r="F280" s="8">
        <f>SUM(F4:F279)</f>
        <v/>
      </c>
      <c r="G280" s="7" t="n"/>
      <c r="H280" s="8">
        <f>SUM(H4:H279)</f>
        <v/>
      </c>
      <c r="I280" s="7" t="n"/>
      <c r="J280" s="7" t="n"/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6" customWidth="1" min="9" max="9"/>
    <col width="28" customWidth="1" min="10" max="10"/>
  </cols>
  <sheetData>
    <row r="1"/>
    <row r="2">
      <c r="A2" s="1" t="inlineStr">
        <is>
          <t>Account: 63010011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63010011</t>
        </is>
      </c>
      <c r="C4" s="6" t="n">
        <v>43836</v>
      </c>
      <c r="D4" s="3" t="inlineStr">
        <is>
          <t>FZ</t>
        </is>
      </c>
      <c r="E4" s="3" t="inlineStr">
        <is>
          <t>LKR</t>
        </is>
      </c>
      <c r="F4" s="4" t="n">
        <v>-24504365.01</v>
      </c>
      <c r="G4" s="3" t="inlineStr">
        <is>
          <t>USD</t>
        </is>
      </c>
      <c r="H4" s="4" t="n">
        <v>-131595.32</v>
      </c>
      <c r="I4" s="5" t="n">
        <v/>
      </c>
      <c r="J4" s="3">
        <f>IF(C4="","",TODAY()-C4)</f>
        <v/>
      </c>
    </row>
    <row r="5">
      <c r="A5" s="5" t="inlineStr">
        <is>
          <t>UN0150</t>
        </is>
      </c>
      <c r="B5" s="3" t="inlineStr">
        <is>
          <t>63010011</t>
        </is>
      </c>
      <c r="C5" s="6" t="n">
        <v>43836</v>
      </c>
      <c r="D5" s="3" t="inlineStr">
        <is>
          <t>FZ</t>
        </is>
      </c>
      <c r="E5" s="3" t="inlineStr">
        <is>
          <t>LKR</t>
        </is>
      </c>
      <c r="F5" s="4" t="n">
        <v>-28327427.37</v>
      </c>
      <c r="G5" s="3" t="inlineStr">
        <is>
          <t>USD</t>
        </is>
      </c>
      <c r="H5" s="4" t="n">
        <v>-152126.24</v>
      </c>
      <c r="I5" s="5" t="n">
        <v/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63010011</t>
        </is>
      </c>
      <c r="C6" s="6" t="n">
        <v>43867</v>
      </c>
      <c r="D6" s="3" t="inlineStr">
        <is>
          <t>FZ</t>
        </is>
      </c>
      <c r="E6" s="3" t="inlineStr">
        <is>
          <t>LKR</t>
        </is>
      </c>
      <c r="F6" s="4" t="n">
        <v>-23468002.01</v>
      </c>
      <c r="G6" s="3" t="inlineStr">
        <is>
          <t>USD</t>
        </is>
      </c>
      <c r="H6" s="4" t="n">
        <v>-126029.76</v>
      </c>
      <c r="I6" s="5" t="n">
        <v/>
      </c>
      <c r="J6" s="3">
        <f>IF(C6="","",TODAY()-C6)</f>
        <v/>
      </c>
    </row>
    <row r="7">
      <c r="A7" s="5" t="inlineStr">
        <is>
          <t>UN0150</t>
        </is>
      </c>
      <c r="B7" s="3" t="inlineStr">
        <is>
          <t>63010011</t>
        </is>
      </c>
      <c r="C7" s="6" t="n">
        <v>43867</v>
      </c>
      <c r="D7" s="3" t="inlineStr">
        <is>
          <t>FZ</t>
        </is>
      </c>
      <c r="E7" s="3" t="inlineStr">
        <is>
          <t>LKR</t>
        </is>
      </c>
      <c r="F7" s="4" t="n">
        <v>-28332279.1</v>
      </c>
      <c r="G7" s="3" t="inlineStr">
        <is>
          <t>USD</t>
        </is>
      </c>
      <c r="H7" s="4" t="n">
        <v>-152152.3</v>
      </c>
      <c r="I7" s="5" t="n">
        <v/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63010011</t>
        </is>
      </c>
      <c r="C8" s="6" t="n">
        <v>43896</v>
      </c>
      <c r="D8" s="3" t="inlineStr">
        <is>
          <t>FZ</t>
        </is>
      </c>
      <c r="E8" s="3" t="inlineStr">
        <is>
          <t>LKR</t>
        </is>
      </c>
      <c r="F8" s="4" t="n">
        <v>-23468002.01</v>
      </c>
      <c r="G8" s="3" t="inlineStr">
        <is>
          <t>USD</t>
        </is>
      </c>
      <c r="H8" s="4" t="n">
        <v>-126029.76</v>
      </c>
      <c r="I8" s="5" t="n">
        <v/>
      </c>
      <c r="J8" s="3">
        <f>IF(C8="","",TODAY()-C8)</f>
        <v/>
      </c>
    </row>
    <row r="9">
      <c r="A9" s="5" t="inlineStr">
        <is>
          <t>UN0150</t>
        </is>
      </c>
      <c r="B9" s="3" t="inlineStr">
        <is>
          <t>63010011</t>
        </is>
      </c>
      <c r="C9" s="6" t="n">
        <v>43896</v>
      </c>
      <c r="D9" s="3" t="inlineStr">
        <is>
          <t>FZ</t>
        </is>
      </c>
      <c r="E9" s="3" t="inlineStr">
        <is>
          <t>LKR</t>
        </is>
      </c>
      <c r="F9" s="4" t="n">
        <v>-27391837.56</v>
      </c>
      <c r="G9" s="3" t="inlineStr">
        <is>
          <t>USD</t>
        </is>
      </c>
      <c r="H9" s="4" t="n">
        <v>-147101.86</v>
      </c>
      <c r="I9" s="5" t="n">
        <v/>
      </c>
      <c r="J9" s="3">
        <f>IF(C9="","",TODAY()-C9)</f>
        <v/>
      </c>
    </row>
    <row r="10">
      <c r="A10" s="5" t="inlineStr">
        <is>
          <t>UN0150</t>
        </is>
      </c>
      <c r="B10" s="3" t="inlineStr">
        <is>
          <t>63010011</t>
        </is>
      </c>
      <c r="C10" s="6" t="n">
        <v>43927</v>
      </c>
      <c r="D10" s="3" t="inlineStr">
        <is>
          <t>FZ</t>
        </is>
      </c>
      <c r="E10" s="3" t="inlineStr">
        <is>
          <t>LKR</t>
        </is>
      </c>
      <c r="F10" s="4" t="n">
        <v>-1093698.75</v>
      </c>
      <c r="G10" s="3" t="inlineStr">
        <is>
          <t>USD</t>
        </is>
      </c>
      <c r="H10" s="4" t="n">
        <v>-5873.47</v>
      </c>
      <c r="I10" s="5" t="n">
        <v/>
      </c>
      <c r="J10" s="3">
        <f>IF(C10="","",TODAY()-C10)</f>
        <v/>
      </c>
    </row>
    <row r="11">
      <c r="A11" s="5" t="inlineStr">
        <is>
          <t>XT0150</t>
        </is>
      </c>
      <c r="B11" s="3" t="inlineStr">
        <is>
          <t>63010011</t>
        </is>
      </c>
      <c r="C11" s="6" t="n">
        <v>43927</v>
      </c>
      <c r="D11" s="3" t="inlineStr">
        <is>
          <t>FZ</t>
        </is>
      </c>
      <c r="E11" s="3" t="inlineStr">
        <is>
          <t>LKR</t>
        </is>
      </c>
      <c r="F11" s="4" t="n">
        <v>-50000000</v>
      </c>
      <c r="G11" s="3" t="inlineStr">
        <is>
          <t>USD</t>
        </is>
      </c>
      <c r="H11" s="4" t="n">
        <v>-268514.04</v>
      </c>
      <c r="I11" s="5" t="inlineStr">
        <is>
          <t>E2018896030132 WN EUC TUNF CHEURGE WEUVED BDYOPA (P</t>
        </is>
      </c>
      <c r="J11" s="3">
        <f>IF(C11="","",TODAY()-C11)</f>
        <v/>
      </c>
    </row>
    <row r="12">
      <c r="A12" s="5" t="inlineStr">
        <is>
          <t>XT0150</t>
        </is>
      </c>
      <c r="B12" s="3" t="inlineStr">
        <is>
          <t>63010011</t>
        </is>
      </c>
      <c r="C12" s="6" t="n">
        <v>43927</v>
      </c>
      <c r="D12" s="3" t="inlineStr">
        <is>
          <t>FZ</t>
        </is>
      </c>
      <c r="E12" s="3" t="inlineStr">
        <is>
          <t>LKR</t>
        </is>
      </c>
      <c r="F12" s="4" t="n">
        <v>-55710000</v>
      </c>
      <c r="G12" s="3" t="inlineStr">
        <is>
          <t>USD</t>
        </is>
      </c>
      <c r="H12" s="4" t="n">
        <v>-299178.35</v>
      </c>
      <c r="I12" s="5" t="inlineStr">
        <is>
          <t>NNREF /FCBU/ 3310 331004 B/ BDYOPA DLL LTD FX</t>
        </is>
      </c>
      <c r="J12" s="3">
        <f>IF(C12="","",TODAY()-C12)</f>
        <v/>
      </c>
    </row>
    <row r="13">
      <c r="A13" s="5" t="inlineStr">
        <is>
          <t>XT0150</t>
        </is>
      </c>
      <c r="B13" s="3" t="inlineStr">
        <is>
          <t>63010011</t>
        </is>
      </c>
      <c r="C13" s="6" t="n">
        <v>43927</v>
      </c>
      <c r="D13" s="3" t="inlineStr">
        <is>
          <t>FZ</t>
        </is>
      </c>
      <c r="E13" s="3" t="inlineStr">
        <is>
          <t>LKR</t>
        </is>
      </c>
      <c r="F13" s="4" t="n">
        <v>-92850000</v>
      </c>
      <c r="G13" s="3" t="inlineStr">
        <is>
          <t>USD</t>
        </is>
      </c>
      <c r="H13" s="4" t="n">
        <v>-498630.58</v>
      </c>
      <c r="I13" s="5" t="inlineStr">
        <is>
          <t>NNREF /FCBU/ 3310 331004 B/ BDYOPA DLL LTD FX</t>
        </is>
      </c>
      <c r="J13" s="3">
        <f>IF(C13="","",TODAY()-C13)</f>
        <v/>
      </c>
    </row>
    <row r="14">
      <c r="A14" s="5" t="inlineStr">
        <is>
          <t>XT0150</t>
        </is>
      </c>
      <c r="B14" s="3" t="inlineStr">
        <is>
          <t>63010011</t>
        </is>
      </c>
      <c r="C14" s="6" t="n">
        <v>43927</v>
      </c>
      <c r="D14" s="3" t="inlineStr">
        <is>
          <t>FZ</t>
        </is>
      </c>
      <c r="E14" s="3" t="inlineStr">
        <is>
          <t>LKR</t>
        </is>
      </c>
      <c r="F14" s="4" t="n">
        <v>-18950594.19</v>
      </c>
      <c r="G14" s="3" t="inlineStr">
        <is>
          <t>USD</t>
        </is>
      </c>
      <c r="H14" s="4" t="n">
        <v>-101770.01</v>
      </c>
      <c r="I14" s="5" t="n">
        <v/>
      </c>
      <c r="J14" s="3">
        <f>IF(C14="","",TODAY()-C14)</f>
        <v/>
      </c>
    </row>
    <row r="15">
      <c r="A15" s="5" t="inlineStr">
        <is>
          <t>UN0150</t>
        </is>
      </c>
      <c r="B15" s="3" t="inlineStr">
        <is>
          <t>63010011</t>
        </is>
      </c>
      <c r="C15" s="6" t="n">
        <v>43927</v>
      </c>
      <c r="D15" s="3" t="inlineStr">
        <is>
          <t>FZ</t>
        </is>
      </c>
      <c r="E15" s="3" t="inlineStr">
        <is>
          <t>LKR</t>
        </is>
      </c>
      <c r="F15" s="4" t="n">
        <v>-25225607.81</v>
      </c>
      <c r="G15" s="3" t="inlineStr">
        <is>
          <t>USD</t>
        </is>
      </c>
      <c r="H15" s="4" t="n">
        <v>-135468.6</v>
      </c>
      <c r="I15" s="5" t="n">
        <v/>
      </c>
      <c r="J15" s="3">
        <f>IF(C15="","",TODAY()-C15)</f>
        <v/>
      </c>
    </row>
    <row r="16">
      <c r="A16" s="5" t="inlineStr">
        <is>
          <t>XT0150</t>
        </is>
      </c>
      <c r="B16" s="3" t="inlineStr">
        <is>
          <t>63010011</t>
        </is>
      </c>
      <c r="C16" s="6" t="n">
        <v>44018</v>
      </c>
      <c r="D16" s="3" t="inlineStr">
        <is>
          <t>FZ</t>
        </is>
      </c>
      <c r="E16" s="3" t="inlineStr">
        <is>
          <t>LKR</t>
        </is>
      </c>
      <c r="F16" s="4" t="n">
        <v>-217260594.19</v>
      </c>
      <c r="G16" s="3" t="inlineStr">
        <is>
          <t>USD</t>
        </is>
      </c>
      <c r="H16" s="4" t="n">
        <v>-1166750.41</v>
      </c>
      <c r="I16" s="5" t="n">
        <v/>
      </c>
      <c r="J16" s="3">
        <f>IF(C16="","",TODAY()-C16)</f>
        <v/>
      </c>
    </row>
    <row r="17">
      <c r="A17" s="5" t="inlineStr">
        <is>
          <t>UN0150</t>
        </is>
      </c>
      <c r="B17" s="3" t="inlineStr">
        <is>
          <t>63010011</t>
        </is>
      </c>
      <c r="C17" s="6" t="n">
        <v>44018</v>
      </c>
      <c r="D17" s="3" t="inlineStr">
        <is>
          <t>FZ</t>
        </is>
      </c>
      <c r="E17" s="3" t="inlineStr">
        <is>
          <t>LKR</t>
        </is>
      </c>
      <c r="F17" s="4" t="n">
        <v>-26060577.79</v>
      </c>
      <c r="G17" s="3" t="inlineStr">
        <is>
          <t>USD</t>
        </is>
      </c>
      <c r="H17" s="4" t="n">
        <v>-139952.62</v>
      </c>
      <c r="I17" s="5" t="n">
        <v/>
      </c>
      <c r="J17" s="3">
        <f>IF(C17="","",TODAY()-C17)</f>
        <v/>
      </c>
    </row>
    <row r="18">
      <c r="A18" s="5" t="inlineStr">
        <is>
          <t>UN0150</t>
        </is>
      </c>
      <c r="B18" s="3" t="inlineStr">
        <is>
          <t>63010011</t>
        </is>
      </c>
      <c r="C18" s="6" t="n">
        <v>43927</v>
      </c>
      <c r="D18" s="3" t="inlineStr">
        <is>
          <t>DZ</t>
        </is>
      </c>
      <c r="E18" s="3" t="inlineStr">
        <is>
          <t>LKR</t>
        </is>
      </c>
      <c r="F18" s="4" t="n">
        <v>1093698.75</v>
      </c>
      <c r="G18" s="3" t="inlineStr">
        <is>
          <t>USD</t>
        </is>
      </c>
      <c r="H18" s="4" t="n">
        <v>5873.47</v>
      </c>
      <c r="I18" s="5" t="inlineStr">
        <is>
          <t>PURTEUS (DLL) LTD N00108</t>
        </is>
      </c>
      <c r="J18" s="3">
        <f>IF(C18="","",TODAY()-C18)</f>
        <v/>
      </c>
    </row>
    <row r="19">
      <c r="A19" s="5" t="inlineStr">
        <is>
          <t>XT0150</t>
        </is>
      </c>
      <c r="B19" s="3" t="inlineStr">
        <is>
          <t>63010011</t>
        </is>
      </c>
      <c r="C19" s="6" t="n">
        <v>44049</v>
      </c>
      <c r="D19" s="3" t="inlineStr">
        <is>
          <t>FZ</t>
        </is>
      </c>
      <c r="E19" s="3" t="inlineStr">
        <is>
          <t>LKR</t>
        </is>
      </c>
      <c r="F19" s="4" t="n">
        <v>-18482000</v>
      </c>
      <c r="G19" s="3" t="inlineStr">
        <is>
          <t>USD</t>
        </is>
      </c>
      <c r="H19" s="4" t="n">
        <v>-99253.53</v>
      </c>
      <c r="I19" s="5" t="inlineStr">
        <is>
          <t>NNREF /FCBU/ 3310 331004 B/ BDYOPA DLL LTD FX</t>
        </is>
      </c>
      <c r="J19" s="3">
        <f>IF(C19="","",TODAY()-C19)</f>
        <v/>
      </c>
    </row>
    <row r="20">
      <c r="A20" s="5" t="inlineStr">
        <is>
          <t>UN0150</t>
        </is>
      </c>
      <c r="B20" s="3" t="inlineStr">
        <is>
          <t>63010011</t>
        </is>
      </c>
      <c r="C20" s="6" t="n">
        <v>44049</v>
      </c>
      <c r="D20" s="3" t="inlineStr">
        <is>
          <t>FZ</t>
        </is>
      </c>
      <c r="E20" s="3" t="inlineStr">
        <is>
          <t>LKR</t>
        </is>
      </c>
      <c r="F20" s="4" t="n">
        <v>-163152000</v>
      </c>
      <c r="G20" s="3" t="inlineStr">
        <is>
          <t>USD</t>
        </is>
      </c>
      <c r="H20" s="4" t="n">
        <v>-876172.0600000001</v>
      </c>
      <c r="I20" s="5" t="inlineStr">
        <is>
          <t>NNREF /FCBU/ 3310 331004 B/ OPAEU wEUter (DLL) LTD</t>
        </is>
      </c>
      <c r="J20" s="3">
        <f>IF(C20="","",TODAY()-C20)</f>
        <v/>
      </c>
    </row>
    <row r="21">
      <c r="A21" s="5" t="inlineStr">
        <is>
          <t>UN0100</t>
        </is>
      </c>
      <c r="B21" s="3" t="inlineStr">
        <is>
          <t>63010011</t>
        </is>
      </c>
      <c r="C21" s="6" t="n">
        <v>44049</v>
      </c>
      <c r="D21" s="3" t="inlineStr">
        <is>
          <t>FZ</t>
        </is>
      </c>
      <c r="E21" s="3" t="inlineStr">
        <is>
          <t>LKR</t>
        </is>
      </c>
      <c r="F21" s="4" t="n">
        <v>-59328000</v>
      </c>
      <c r="G21" s="3" t="inlineStr">
        <is>
          <t>USD</t>
        </is>
      </c>
      <c r="H21" s="4" t="n">
        <v>-318608.02</v>
      </c>
      <c r="I21" s="5" t="inlineStr">
        <is>
          <t>NNREF /FCBU/ 3310 331004 B/ wEUter EUBCDNG GLBEUL</t>
        </is>
      </c>
      <c r="J21" s="3">
        <f>IF(C21="","",TODAY()-C21)</f>
        <v/>
      </c>
    </row>
    <row r="22">
      <c r="A22" s="5" t="inlineStr">
        <is>
          <t>XT0150</t>
        </is>
      </c>
      <c r="B22" s="3" t="inlineStr">
        <is>
          <t>63010011</t>
        </is>
      </c>
      <c r="C22" s="6" t="n">
        <v>44049</v>
      </c>
      <c r="D22" s="3" t="inlineStr">
        <is>
          <t>FZ</t>
        </is>
      </c>
      <c r="E22" s="3" t="inlineStr">
        <is>
          <t>LKR</t>
        </is>
      </c>
      <c r="F22" s="4" t="n">
        <v>-217260594.19</v>
      </c>
      <c r="G22" s="3" t="inlineStr">
        <is>
          <t>USD</t>
        </is>
      </c>
      <c r="H22" s="4" t="n">
        <v>-1166750.41</v>
      </c>
      <c r="I22" s="5" t="n">
        <v/>
      </c>
      <c r="J22" s="3">
        <f>IF(C22="","",TODAY()-C22)</f>
        <v/>
      </c>
    </row>
    <row r="23">
      <c r="A23" s="5" t="inlineStr">
        <is>
          <t>UN0150</t>
        </is>
      </c>
      <c r="B23" s="3" t="inlineStr">
        <is>
          <t>63010011</t>
        </is>
      </c>
      <c r="C23" s="6" t="n">
        <v>44049</v>
      </c>
      <c r="D23" s="3" t="inlineStr">
        <is>
          <t>FZ</t>
        </is>
      </c>
      <c r="E23" s="3" t="inlineStr">
        <is>
          <t>LKR</t>
        </is>
      </c>
      <c r="F23" s="4" t="n">
        <v>-26060577.79</v>
      </c>
      <c r="G23" s="3" t="inlineStr">
        <is>
          <t>USD</t>
        </is>
      </c>
      <c r="H23" s="4" t="n">
        <v>-139952.62</v>
      </c>
      <c r="I23" s="5" t="n">
        <v/>
      </c>
      <c r="J23" s="3">
        <f>IF(C23="","",TODAY()-C23)</f>
        <v/>
      </c>
    </row>
    <row r="24">
      <c r="A24" s="5" t="inlineStr">
        <is>
          <t>UN0150</t>
        </is>
      </c>
      <c r="B24" s="3" t="inlineStr">
        <is>
          <t>63010011</t>
        </is>
      </c>
      <c r="C24" s="6" t="n">
        <v>44080</v>
      </c>
      <c r="D24" s="3" t="inlineStr">
        <is>
          <t>FZ</t>
        </is>
      </c>
      <c r="E24" s="3" t="inlineStr">
        <is>
          <t>LKR</t>
        </is>
      </c>
      <c r="F24" s="4" t="n">
        <v>-90655.38</v>
      </c>
      <c r="G24" s="3" t="inlineStr">
        <is>
          <t>USD</t>
        </is>
      </c>
      <c r="H24" s="4" t="n">
        <v>-486.84</v>
      </c>
      <c r="I24" s="5" t="inlineStr">
        <is>
          <t>210326 PEUYEES ENDRSEMENT RREG</t>
        </is>
      </c>
      <c r="J24" s="3">
        <f>IF(C24="","",TODAY()-C24)</f>
        <v/>
      </c>
    </row>
    <row r="25">
      <c r="A25" s="5" t="inlineStr">
        <is>
          <t>XT0150</t>
        </is>
      </c>
      <c r="B25" s="3" t="inlineStr">
        <is>
          <t>63010011</t>
        </is>
      </c>
      <c r="C25" s="6" t="n">
        <v>44080</v>
      </c>
      <c r="D25" s="3" t="inlineStr">
        <is>
          <t>FZ</t>
        </is>
      </c>
      <c r="E25" s="3" t="inlineStr">
        <is>
          <t>LKR</t>
        </is>
      </c>
      <c r="F25" s="4" t="n">
        <v>-12531730.78</v>
      </c>
      <c r="G25" s="3" t="inlineStr">
        <is>
          <t>USD</t>
        </is>
      </c>
      <c r="H25" s="4" t="n">
        <v>-67298.91</v>
      </c>
      <c r="I25" s="5" t="inlineStr">
        <is>
          <t>NNREF EUBCNSFER REVERSEUL FRM 001-056936-040</t>
        </is>
      </c>
      <c r="J25" s="3">
        <f>IF(C25="","",TODAY()-C25)</f>
        <v/>
      </c>
    </row>
    <row r="26">
      <c r="A26" s="5" t="inlineStr">
        <is>
          <t>UN0150</t>
        </is>
      </c>
      <c r="B26" s="3" t="inlineStr">
        <is>
          <t>63010011</t>
        </is>
      </c>
      <c r="C26" s="6" t="n">
        <v>44080</v>
      </c>
      <c r="D26" s="3" t="inlineStr">
        <is>
          <t>FZ</t>
        </is>
      </c>
      <c r="E26" s="3" t="inlineStr">
        <is>
          <t>LKR</t>
        </is>
      </c>
      <c r="F26" s="4" t="n">
        <v>-157888421.12</v>
      </c>
      <c r="G26" s="3" t="inlineStr">
        <is>
          <t>USD</t>
        </is>
      </c>
      <c r="H26" s="4" t="n">
        <v>-847905.17</v>
      </c>
      <c r="I26" s="5" t="n">
        <v/>
      </c>
      <c r="J26" s="3">
        <f>IF(C26="","",TODAY()-C26)</f>
        <v/>
      </c>
    </row>
    <row r="27">
      <c r="A27" s="5" t="inlineStr">
        <is>
          <t>XT0150</t>
        </is>
      </c>
      <c r="B27" s="3" t="inlineStr">
        <is>
          <t>63010011</t>
        </is>
      </c>
      <c r="C27" s="6" t="n">
        <v>44110</v>
      </c>
      <c r="D27" s="3" t="inlineStr">
        <is>
          <t>FZ</t>
        </is>
      </c>
      <c r="E27" s="3" t="inlineStr">
        <is>
          <t>LKR</t>
        </is>
      </c>
      <c r="F27" s="4" t="n">
        <v>-11665805.78</v>
      </c>
      <c r="G27" s="3" t="inlineStr">
        <is>
          <t>USD</t>
        </is>
      </c>
      <c r="H27" s="4" t="n">
        <v>-62648.65</v>
      </c>
      <c r="I27" s="5" t="inlineStr">
        <is>
          <t>NNREF EUBCNSFER REVERSEUL FRM 001-056936-040</t>
        </is>
      </c>
      <c r="J27" s="3">
        <f>IF(C27="","",TODAY()-C27)</f>
        <v/>
      </c>
    </row>
    <row r="28">
      <c r="A28" s="5" t="inlineStr">
        <is>
          <t>UN0150</t>
        </is>
      </c>
      <c r="B28" s="3" t="inlineStr">
        <is>
          <t>63010011</t>
        </is>
      </c>
      <c r="C28" s="6" t="n">
        <v>44110</v>
      </c>
      <c r="D28" s="3" t="inlineStr">
        <is>
          <t>FZ</t>
        </is>
      </c>
      <c r="E28" s="3" t="inlineStr">
        <is>
          <t>LKR</t>
        </is>
      </c>
      <c r="F28" s="4" t="n">
        <v>-24275518.02</v>
      </c>
      <c r="G28" s="3" t="inlineStr">
        <is>
          <t>USD</t>
        </is>
      </c>
      <c r="H28" s="4" t="n">
        <v>-130366.35</v>
      </c>
      <c r="I28" s="5" t="n">
        <v/>
      </c>
      <c r="J28" s="3">
        <f>IF(C28="","",TODAY()-C28)</f>
        <v/>
      </c>
    </row>
    <row r="29">
      <c r="A29" s="5" t="inlineStr">
        <is>
          <t>UN0150</t>
        </is>
      </c>
      <c r="B29" s="3" t="inlineStr">
        <is>
          <t>63010011</t>
        </is>
      </c>
      <c r="C29" s="6" t="n">
        <v>44141</v>
      </c>
      <c r="D29" s="3" t="inlineStr">
        <is>
          <t>FZ</t>
        </is>
      </c>
      <c r="E29" s="3" t="inlineStr">
        <is>
          <t>LKR</t>
        </is>
      </c>
      <c r="F29" s="4" t="n">
        <v>-99420</v>
      </c>
      <c r="G29" s="3" t="inlineStr">
        <is>
          <t>USD</t>
        </is>
      </c>
      <c r="H29" s="4" t="n">
        <v>-533.91</v>
      </c>
      <c r="I29" s="5" t="inlineStr">
        <is>
          <t>000048 SLPS CUST TUNF BELW 5M C099918896106405</t>
        </is>
      </c>
      <c r="J29" s="3">
        <f>IF(C29="","",TODAY()-C29)</f>
        <v/>
      </c>
    </row>
    <row r="30">
      <c r="A30" s="5" t="inlineStr">
        <is>
          <t>UN0150</t>
        </is>
      </c>
      <c r="B30" s="3" t="inlineStr">
        <is>
          <t>63010011</t>
        </is>
      </c>
      <c r="C30" s="6" t="n">
        <v>44141</v>
      </c>
      <c r="D30" s="3" t="inlineStr">
        <is>
          <t>FZ</t>
        </is>
      </c>
      <c r="E30" s="3" t="inlineStr">
        <is>
          <t>LKR</t>
        </is>
      </c>
      <c r="F30" s="4" t="n">
        <v>-3901406.25</v>
      </c>
      <c r="G30" s="3" t="inlineStr">
        <is>
          <t>USD</t>
        </is>
      </c>
      <c r="H30" s="4" t="n">
        <v>-20951.65</v>
      </c>
      <c r="I30" s="5" t="n">
        <v/>
      </c>
      <c r="J30" s="3">
        <f>IF(C30="","",TODAY()-C30)</f>
        <v/>
      </c>
    </row>
    <row r="31">
      <c r="A31" s="5" t="inlineStr">
        <is>
          <t>UN0150</t>
        </is>
      </c>
      <c r="B31" s="3" t="inlineStr">
        <is>
          <t>63010011</t>
        </is>
      </c>
      <c r="C31" s="6" t="n">
        <v>44141</v>
      </c>
      <c r="D31" s="3" t="inlineStr">
        <is>
          <t>FZ</t>
        </is>
      </c>
      <c r="E31" s="3" t="inlineStr">
        <is>
          <t>LKR</t>
        </is>
      </c>
      <c r="F31" s="4" t="n">
        <v>-3375000</v>
      </c>
      <c r="G31" s="3" t="inlineStr">
        <is>
          <t>USD</t>
        </is>
      </c>
      <c r="H31" s="4" t="n">
        <v>-18124.7</v>
      </c>
      <c r="I31" s="5" t="n">
        <v/>
      </c>
      <c r="J31" s="3">
        <f>IF(C31="","",TODAY()-C31)</f>
        <v/>
      </c>
    </row>
    <row r="32">
      <c r="A32" s="5" t="inlineStr">
        <is>
          <t>XT0150</t>
        </is>
      </c>
      <c r="B32" s="3" t="inlineStr">
        <is>
          <t>63010011</t>
        </is>
      </c>
      <c r="C32" s="6" t="n">
        <v>44141</v>
      </c>
      <c r="D32" s="3" t="inlineStr">
        <is>
          <t>FZ</t>
        </is>
      </c>
      <c r="E32" s="3" t="inlineStr">
        <is>
          <t>LKR</t>
        </is>
      </c>
      <c r="F32" s="4" t="n">
        <v>-11053114</v>
      </c>
      <c r="G32" s="3" t="inlineStr">
        <is>
          <t>USD</t>
        </is>
      </c>
      <c r="H32" s="4" t="n">
        <v>-59358.33</v>
      </c>
      <c r="I32" s="5" t="inlineStr">
        <is>
          <t>NNREF EUBCNSFER REVERSEUL FRM 001-056936-040</t>
        </is>
      </c>
      <c r="J32" s="3">
        <f>IF(C32="","",TODAY()-C32)</f>
        <v/>
      </c>
    </row>
    <row r="33">
      <c r="A33" s="5" t="inlineStr">
        <is>
          <t>UN0150</t>
        </is>
      </c>
      <c r="B33" s="3" t="inlineStr">
        <is>
          <t>63010011</t>
        </is>
      </c>
      <c r="C33" s="6" t="n">
        <v>44141</v>
      </c>
      <c r="D33" s="3" t="inlineStr">
        <is>
          <t>FZ</t>
        </is>
      </c>
      <c r="E33" s="3" t="inlineStr">
        <is>
          <t>LKR</t>
        </is>
      </c>
      <c r="F33" s="4" t="n">
        <v>-24186394.94</v>
      </c>
      <c r="G33" s="3" t="inlineStr">
        <is>
          <t>USD</t>
        </is>
      </c>
      <c r="H33" s="4" t="n">
        <v>-129887.73</v>
      </c>
      <c r="I33" s="5" t="n">
        <v/>
      </c>
      <c r="J33" s="3">
        <f>IF(C33="","",TODAY()-C33)</f>
        <v/>
      </c>
    </row>
    <row r="34">
      <c r="A34" s="5" t="inlineStr">
        <is>
          <t>UN0150</t>
        </is>
      </c>
      <c r="B34" s="3" t="inlineStr">
        <is>
          <t>63010011</t>
        </is>
      </c>
      <c r="C34" s="6" t="n">
        <v>44141</v>
      </c>
      <c r="D34" s="3" t="inlineStr">
        <is>
          <t>DZ</t>
        </is>
      </c>
      <c r="E34" s="3" t="inlineStr">
        <is>
          <t>LKR</t>
        </is>
      </c>
      <c r="F34" s="4" t="n">
        <v>3375000</v>
      </c>
      <c r="G34" s="3" t="inlineStr">
        <is>
          <t>USD</t>
        </is>
      </c>
      <c r="H34" s="4" t="n">
        <v>18124.7</v>
      </c>
      <c r="I34" s="5" t="inlineStr">
        <is>
          <t>PURTEUS (DLL) LTD N00121</t>
        </is>
      </c>
      <c r="J34" s="3">
        <f>IF(C34="","",TODAY()-C34)</f>
        <v/>
      </c>
    </row>
    <row r="35">
      <c r="A35" s="5" t="inlineStr">
        <is>
          <t>UN0150</t>
        </is>
      </c>
      <c r="B35" s="3" t="inlineStr">
        <is>
          <t>63010011</t>
        </is>
      </c>
      <c r="C35" s="6" t="n">
        <v>44141</v>
      </c>
      <c r="D35" s="3" t="inlineStr">
        <is>
          <t>DZ</t>
        </is>
      </c>
      <c r="E35" s="3" t="inlineStr">
        <is>
          <t>LKR</t>
        </is>
      </c>
      <c r="F35" s="4" t="n">
        <v>3901406.25</v>
      </c>
      <c r="G35" s="3" t="inlineStr">
        <is>
          <t>USD</t>
        </is>
      </c>
      <c r="H35" s="4" t="n">
        <v>20951.65</v>
      </c>
      <c r="I35" s="5" t="inlineStr">
        <is>
          <t>PURTEUS (DLL) LTD N00121</t>
        </is>
      </c>
      <c r="J35" s="3">
        <f>IF(C35="","",TODAY()-C35)</f>
        <v/>
      </c>
    </row>
    <row r="36">
      <c r="A36" s="5" t="inlineStr">
        <is>
          <t>UN0100</t>
        </is>
      </c>
      <c r="B36" s="3" t="inlineStr">
        <is>
          <t>63010011</t>
        </is>
      </c>
      <c r="C36" s="6" t="n">
        <v>44171</v>
      </c>
      <c r="D36" s="3" t="inlineStr">
        <is>
          <t>FZ</t>
        </is>
      </c>
      <c r="E36" s="3" t="inlineStr">
        <is>
          <t>LKR</t>
        </is>
      </c>
      <c r="F36" s="4" t="n">
        <v>-15000000</v>
      </c>
      <c r="G36" s="3" t="inlineStr">
        <is>
          <t>USD</t>
        </is>
      </c>
      <c r="H36" s="4" t="n">
        <v>-80554.21000000001</v>
      </c>
      <c r="I36" s="5" t="inlineStr">
        <is>
          <t>11062020SEU1 OPAEU wEUter DLL LTD</t>
        </is>
      </c>
      <c r="J36" s="3">
        <f>IF(C36="","",TODAY()-C36)</f>
        <v/>
      </c>
    </row>
    <row r="37">
      <c r="A37" s="5" t="inlineStr">
        <is>
          <t>XT0150</t>
        </is>
      </c>
      <c r="B37" s="3" t="inlineStr">
        <is>
          <t>63010011</t>
        </is>
      </c>
      <c r="C37" s="6" t="n">
        <v>44171</v>
      </c>
      <c r="D37" s="3" t="inlineStr">
        <is>
          <t>FZ</t>
        </is>
      </c>
      <c r="E37" s="3" t="inlineStr">
        <is>
          <t>LKR</t>
        </is>
      </c>
      <c r="F37" s="4" t="n">
        <v>-55500000</v>
      </c>
      <c r="G37" s="3" t="inlineStr">
        <is>
          <t>USD</t>
        </is>
      </c>
      <c r="H37" s="4" t="n">
        <v>-298050.59</v>
      </c>
      <c r="I37" s="5" t="inlineStr">
        <is>
          <t>NNREF /FCBU/ 3310 331004 B/ BDYOPA DLL LTD FX</t>
        </is>
      </c>
      <c r="J37" s="3">
        <f>IF(C37="","",TODAY()-C37)</f>
        <v/>
      </c>
    </row>
    <row r="38">
      <c r="A38" s="5" t="inlineStr">
        <is>
          <t>XT0150</t>
        </is>
      </c>
      <c r="B38" s="3" t="inlineStr">
        <is>
          <t>63010011</t>
        </is>
      </c>
      <c r="C38" s="6" t="n">
        <v>44171</v>
      </c>
      <c r="D38" s="3" t="inlineStr">
        <is>
          <t>FZ</t>
        </is>
      </c>
      <c r="E38" s="3" t="inlineStr">
        <is>
          <t>LKR</t>
        </is>
      </c>
      <c r="F38" s="4" t="n">
        <v>-11053114</v>
      </c>
      <c r="G38" s="3" t="inlineStr">
        <is>
          <t>USD</t>
        </is>
      </c>
      <c r="H38" s="4" t="n">
        <v>-59358.33</v>
      </c>
      <c r="I38" s="5" t="inlineStr">
        <is>
          <t>NNREF EUBCNSFER REVERSEUL FRM 001-056936-040</t>
        </is>
      </c>
      <c r="J38" s="3">
        <f>IF(C38="","",TODAY()-C38)</f>
        <v/>
      </c>
    </row>
    <row r="39">
      <c r="A39" s="5" t="inlineStr">
        <is>
          <t>UN0150</t>
        </is>
      </c>
      <c r="B39" s="3" t="inlineStr">
        <is>
          <t>63010011</t>
        </is>
      </c>
      <c r="C39" s="6" t="n">
        <v>44171</v>
      </c>
      <c r="D39" s="3" t="inlineStr">
        <is>
          <t>FZ</t>
        </is>
      </c>
      <c r="E39" s="3" t="inlineStr">
        <is>
          <t>LKR</t>
        </is>
      </c>
      <c r="F39" s="4" t="n">
        <v>-30598962.74</v>
      </c>
      <c r="G39" s="3" t="inlineStr">
        <is>
          <t>USD</t>
        </is>
      </c>
      <c r="H39" s="4" t="n">
        <v>-164325.02</v>
      </c>
      <c r="I39" s="5" t="n">
        <v/>
      </c>
      <c r="J39" s="3">
        <f>IF(C39="","",TODAY()-C39)</f>
        <v/>
      </c>
    </row>
    <row r="40">
      <c r="A40" s="5" t="inlineStr">
        <is>
          <t>XT0150</t>
        </is>
      </c>
      <c r="B40" s="3" t="inlineStr">
        <is>
          <t>63010011</t>
        </is>
      </c>
      <c r="C40" s="6" t="n">
        <v>44171</v>
      </c>
      <c r="D40" s="3" t="inlineStr">
        <is>
          <t>FZ</t>
        </is>
      </c>
      <c r="E40" s="3" t="inlineStr">
        <is>
          <t>LKR</t>
        </is>
      </c>
      <c r="F40" s="4" t="n">
        <v>-16553114</v>
      </c>
      <c r="G40" s="3" t="inlineStr">
        <is>
          <t>USD</t>
        </is>
      </c>
      <c r="H40" s="4" t="n">
        <v>-88894.87</v>
      </c>
      <c r="I40" s="5" t="inlineStr">
        <is>
          <t>NNREF EUBCNSFER REVERSEUL FRM 001-056936-040</t>
        </is>
      </c>
      <c r="J40" s="3">
        <f>IF(C40="","",TODAY()-C40)</f>
        <v/>
      </c>
    </row>
    <row r="41">
      <c r="A41" s="5" t="inlineStr">
        <is>
          <t>UN0150</t>
        </is>
      </c>
      <c r="B41" s="3" t="inlineStr">
        <is>
          <t>63010011</t>
        </is>
      </c>
      <c r="C41" s="6" t="n">
        <v>44171</v>
      </c>
      <c r="D41" s="3" t="inlineStr">
        <is>
          <t>FZ</t>
        </is>
      </c>
      <c r="E41" s="3" t="inlineStr">
        <is>
          <t>LKR</t>
        </is>
      </c>
      <c r="F41" s="4" t="n">
        <v>-15269558.62</v>
      </c>
      <c r="G41" s="3" t="inlineStr">
        <is>
          <t>USD</t>
        </is>
      </c>
      <c r="H41" s="4" t="n">
        <v>-82001.82000000001</v>
      </c>
      <c r="I41" s="5" t="n">
        <v/>
      </c>
      <c r="J41" s="3">
        <f>IF(C41="","",TODAY()-C41)</f>
        <v/>
      </c>
    </row>
    <row r="42">
      <c r="A42" s="5" t="inlineStr">
        <is>
          <t>XT0150</t>
        </is>
      </c>
      <c r="B42" s="3" t="inlineStr">
        <is>
          <t>63010011</t>
        </is>
      </c>
      <c r="C42" s="6" t="n">
        <v>44171</v>
      </c>
      <c r="D42" s="3" t="inlineStr">
        <is>
          <t>FZ</t>
        </is>
      </c>
      <c r="E42" s="3" t="inlineStr">
        <is>
          <t>LKR</t>
        </is>
      </c>
      <c r="F42" s="4" t="n">
        <v>-16553114</v>
      </c>
      <c r="G42" s="3" t="inlineStr">
        <is>
          <t>USD</t>
        </is>
      </c>
      <c r="H42" s="4" t="n">
        <v>-88894.87</v>
      </c>
      <c r="I42" s="5" t="inlineStr">
        <is>
          <t>NNREF EUBCNSFER REVERSEUL FRM 001-056936-040</t>
        </is>
      </c>
      <c r="J42" s="3">
        <f>IF(C42="","",TODAY()-C42)</f>
        <v/>
      </c>
    </row>
    <row r="43">
      <c r="A43" s="5" t="inlineStr">
        <is>
          <t>UN0150</t>
        </is>
      </c>
      <c r="B43" s="3" t="inlineStr">
        <is>
          <t>63010011</t>
        </is>
      </c>
      <c r="C43" s="6" t="n">
        <v>44171</v>
      </c>
      <c r="D43" s="3" t="inlineStr">
        <is>
          <t>FZ</t>
        </is>
      </c>
      <c r="E43" s="3" t="inlineStr">
        <is>
          <t>LKR</t>
        </is>
      </c>
      <c r="F43" s="4" t="n">
        <v>-15269558.62</v>
      </c>
      <c r="G43" s="3" t="inlineStr">
        <is>
          <t>USD</t>
        </is>
      </c>
      <c r="H43" s="4" t="n">
        <v>-82001.82000000001</v>
      </c>
      <c r="I43" s="5" t="n">
        <v/>
      </c>
      <c r="J43" s="3">
        <f>IF(C43="","",TODAY()-C43)</f>
        <v/>
      </c>
    </row>
    <row r="44">
      <c r="A44" s="5" t="inlineStr">
        <is>
          <t>XT0150</t>
        </is>
      </c>
      <c r="B44" s="3" t="inlineStr">
        <is>
          <t>63010011</t>
        </is>
      </c>
      <c r="C44" s="6" t="n">
        <v>44171</v>
      </c>
      <c r="D44" s="3" t="inlineStr">
        <is>
          <t>FZ</t>
        </is>
      </c>
      <c r="E44" s="3" t="inlineStr">
        <is>
          <t>LKR</t>
        </is>
      </c>
      <c r="F44" s="4" t="n">
        <v>-8693390.810000001</v>
      </c>
      <c r="G44" s="3" t="inlineStr">
        <is>
          <t>USD</t>
        </is>
      </c>
      <c r="H44" s="4" t="n">
        <v>-46685.95</v>
      </c>
      <c r="I44" s="5" t="inlineStr">
        <is>
          <t>NNREF EUBCNSFER REVERSEUL FRM 001-056936-040</t>
        </is>
      </c>
      <c r="J44" s="3">
        <f>IF(C44="","",TODAY()-C44)</f>
        <v/>
      </c>
    </row>
    <row r="45">
      <c r="A45" s="5" t="inlineStr">
        <is>
          <t>UN0150</t>
        </is>
      </c>
      <c r="B45" s="3" t="inlineStr">
        <is>
          <t>63010011</t>
        </is>
      </c>
      <c r="C45" s="6" t="n">
        <v>44171</v>
      </c>
      <c r="D45" s="3" t="inlineStr">
        <is>
          <t>FZ</t>
        </is>
      </c>
      <c r="E45" s="3" t="inlineStr">
        <is>
          <t>LKR</t>
        </is>
      </c>
      <c r="F45" s="4" t="n">
        <v>-15217125.29</v>
      </c>
      <c r="G45" s="3" t="inlineStr">
        <is>
          <t>USD</t>
        </is>
      </c>
      <c r="H45" s="4" t="n">
        <v>-81720.24000000001</v>
      </c>
      <c r="I45" s="5" t="n">
        <v/>
      </c>
      <c r="J45" s="3">
        <f>IF(C45="","",TODAY()-C45)</f>
        <v/>
      </c>
    </row>
    <row r="46">
      <c r="A46" s="5" t="inlineStr">
        <is>
          <t>XT0150</t>
        </is>
      </c>
      <c r="B46" s="3" t="inlineStr">
        <is>
          <t>63010011</t>
        </is>
      </c>
      <c r="C46" s="6" t="n">
        <v>44171</v>
      </c>
      <c r="D46" s="3" t="inlineStr">
        <is>
          <t>FZ</t>
        </is>
      </c>
      <c r="E46" s="3" t="inlineStr">
        <is>
          <t>LKR</t>
        </is>
      </c>
      <c r="F46" s="4" t="n">
        <v>-9298000</v>
      </c>
      <c r="G46" s="3" t="inlineStr">
        <is>
          <t>USD</t>
        </is>
      </c>
      <c r="H46" s="4" t="n">
        <v>-49932.87</v>
      </c>
      <c r="I46" s="5" t="inlineStr">
        <is>
          <t>NNREF /FCBU/ 3310 331004 B/ BDYOPA DLL FX USD</t>
        </is>
      </c>
      <c r="J46" s="3">
        <f>IF(C46="","",TODAY()-C46)</f>
        <v/>
      </c>
    </row>
    <row r="47">
      <c r="A47" s="5" t="inlineStr">
        <is>
          <t>XT0150</t>
        </is>
      </c>
      <c r="B47" s="3" t="inlineStr">
        <is>
          <t>63010011</t>
        </is>
      </c>
      <c r="C47" s="6" t="n">
        <v>44171</v>
      </c>
      <c r="D47" s="3" t="inlineStr">
        <is>
          <t>FZ</t>
        </is>
      </c>
      <c r="E47" s="3" t="inlineStr">
        <is>
          <t>LKR</t>
        </is>
      </c>
      <c r="F47" s="4" t="n">
        <v>-9296000</v>
      </c>
      <c r="G47" s="3" t="inlineStr">
        <is>
          <t>USD</t>
        </is>
      </c>
      <c r="H47" s="4" t="n">
        <v>-49922.13</v>
      </c>
      <c r="I47" s="5" t="inlineStr">
        <is>
          <t>NNREF /FCBU/ 3310 331004 B/ BDYOPA DLL FX USD</t>
        </is>
      </c>
      <c r="J47" s="3">
        <f>IF(C47="","",TODAY()-C47)</f>
        <v/>
      </c>
    </row>
    <row r="48">
      <c r="A48" s="5" t="inlineStr">
        <is>
          <t>XT0150</t>
        </is>
      </c>
      <c r="B48" s="3" t="inlineStr">
        <is>
          <t>63010011</t>
        </is>
      </c>
      <c r="C48" s="6" t="n">
        <v>44171</v>
      </c>
      <c r="D48" s="3" t="inlineStr">
        <is>
          <t>FZ</t>
        </is>
      </c>
      <c r="E48" s="3" t="inlineStr">
        <is>
          <t>LKR</t>
        </is>
      </c>
      <c r="F48" s="4" t="n">
        <v>-8693390.810000001</v>
      </c>
      <c r="G48" s="3" t="inlineStr">
        <is>
          <t>USD</t>
        </is>
      </c>
      <c r="H48" s="4" t="n">
        <v>-46685.95</v>
      </c>
      <c r="I48" s="5" t="inlineStr">
        <is>
          <t>NNREF EUBCNSFER REVERSEUL FRM 001-056936-040</t>
        </is>
      </c>
      <c r="J48" s="3">
        <f>IF(C48="","",TODAY()-C48)</f>
        <v/>
      </c>
    </row>
    <row r="49">
      <c r="A49" s="5" t="inlineStr">
        <is>
          <t>UN0150</t>
        </is>
      </c>
      <c r="B49" s="3" t="inlineStr">
        <is>
          <t>63010011</t>
        </is>
      </c>
      <c r="C49" s="6" t="n">
        <v>44171</v>
      </c>
      <c r="D49" s="3" t="inlineStr">
        <is>
          <t>FZ</t>
        </is>
      </c>
      <c r="E49" s="3" t="inlineStr">
        <is>
          <t>LKR</t>
        </is>
      </c>
      <c r="F49" s="4" t="n">
        <v>-13013000.04</v>
      </c>
      <c r="G49" s="3" t="inlineStr">
        <is>
          <t>USD</t>
        </is>
      </c>
      <c r="H49" s="4" t="n">
        <v>-69883.47</v>
      </c>
      <c r="I49" s="5" t="n">
        <v/>
      </c>
      <c r="J49" s="3">
        <f>IF(C49="","",TODAY()-C49)</f>
        <v/>
      </c>
    </row>
    <row r="50">
      <c r="A50" s="5" t="inlineStr">
        <is>
          <t>XT0150</t>
        </is>
      </c>
      <c r="B50" s="3" t="inlineStr">
        <is>
          <t>63010011</t>
        </is>
      </c>
      <c r="C50" s="6" t="n">
        <v>44171</v>
      </c>
      <c r="D50" s="3" t="inlineStr">
        <is>
          <t>FZ</t>
        </is>
      </c>
      <c r="E50" s="3" t="inlineStr">
        <is>
          <t>LKR</t>
        </is>
      </c>
      <c r="F50" s="4" t="n">
        <v>-9507566.5</v>
      </c>
      <c r="G50" s="3" t="inlineStr">
        <is>
          <t>USD</t>
        </is>
      </c>
      <c r="H50" s="4" t="n">
        <v>-51058.3</v>
      </c>
      <c r="I50" s="5" t="inlineStr">
        <is>
          <t>NNREF EUBCNSFER REVERSEUL FRM 001-056936-040</t>
        </is>
      </c>
      <c r="J50" s="3">
        <f>IF(C50="","",TODAY()-C50)</f>
        <v/>
      </c>
    </row>
    <row r="51">
      <c r="A51" s="5" t="inlineStr">
        <is>
          <t>UN0150</t>
        </is>
      </c>
      <c r="B51" s="3" t="inlineStr">
        <is>
          <t>63010011</t>
        </is>
      </c>
      <c r="C51" s="6" t="n">
        <v>44171</v>
      </c>
      <c r="D51" s="3" t="inlineStr">
        <is>
          <t>FZ</t>
        </is>
      </c>
      <c r="E51" s="3" t="inlineStr">
        <is>
          <t>LKR</t>
        </is>
      </c>
      <c r="F51" s="4" t="n">
        <v>-11784184.77</v>
      </c>
      <c r="G51" s="3" t="inlineStr">
        <is>
          <t>USD</t>
        </is>
      </c>
      <c r="H51" s="4" t="n">
        <v>-63284.38</v>
      </c>
      <c r="I51" s="5" t="n">
        <v/>
      </c>
      <c r="J51" s="3">
        <f>IF(C51="","",TODAY()-C51)</f>
        <v/>
      </c>
    </row>
    <row r="52">
      <c r="A52" s="5" t="inlineStr">
        <is>
          <t>XT0150</t>
        </is>
      </c>
      <c r="B52" s="3" t="inlineStr">
        <is>
          <t>63010011</t>
        </is>
      </c>
      <c r="C52" s="6" t="n">
        <v>44171</v>
      </c>
      <c r="D52" s="3" t="inlineStr">
        <is>
          <t>FZ</t>
        </is>
      </c>
      <c r="E52" s="3" t="inlineStr">
        <is>
          <t>LKR</t>
        </is>
      </c>
      <c r="F52" s="4" t="n">
        <v>-9507566.5</v>
      </c>
      <c r="G52" s="3" t="inlineStr">
        <is>
          <t>USD</t>
        </is>
      </c>
      <c r="H52" s="4" t="n">
        <v>-51058.3</v>
      </c>
      <c r="I52" s="5" t="inlineStr">
        <is>
          <t>NNREF EUBCNSFER REVERSEUL FRM 001-056936-040</t>
        </is>
      </c>
      <c r="J52" s="3">
        <f>IF(C52="","",TODAY()-C52)</f>
        <v/>
      </c>
    </row>
    <row r="53">
      <c r="A53" s="5" t="inlineStr">
        <is>
          <t>UN0150</t>
        </is>
      </c>
      <c r="B53" s="3" t="inlineStr">
        <is>
          <t>63010011</t>
        </is>
      </c>
      <c r="C53" s="6" t="n">
        <v>44171</v>
      </c>
      <c r="D53" s="3" t="inlineStr">
        <is>
          <t>FZ</t>
        </is>
      </c>
      <c r="E53" s="3" t="inlineStr">
        <is>
          <t>LKR</t>
        </is>
      </c>
      <c r="F53" s="4" t="n">
        <v>-11095154.97</v>
      </c>
      <c r="G53" s="3" t="inlineStr">
        <is>
          <t>USD</t>
        </is>
      </c>
      <c r="H53" s="4" t="n">
        <v>-59584.1</v>
      </c>
      <c r="I53" s="5" t="n">
        <v/>
      </c>
      <c r="J53" s="3">
        <f>IF(C53="","",TODAY()-C53)</f>
        <v/>
      </c>
    </row>
    <row r="54">
      <c r="A54" s="5" t="inlineStr">
        <is>
          <t>XT0150</t>
        </is>
      </c>
      <c r="B54" s="3" t="inlineStr">
        <is>
          <t>63010011</t>
        </is>
      </c>
      <c r="C54" s="6" t="n">
        <v>44171</v>
      </c>
      <c r="D54" s="3" t="inlineStr">
        <is>
          <t>FZ</t>
        </is>
      </c>
      <c r="E54" s="3" t="inlineStr">
        <is>
          <t>LKR</t>
        </is>
      </c>
      <c r="F54" s="4" t="n">
        <v>-9414257.01</v>
      </c>
      <c r="G54" s="3" t="inlineStr">
        <is>
          <t>USD</t>
        </is>
      </c>
      <c r="H54" s="4" t="n">
        <v>-50557.2</v>
      </c>
      <c r="I54" s="5" t="inlineStr">
        <is>
          <t>NNREF EUBCNSFER REVERSEUL FRM 001-056936-040</t>
        </is>
      </c>
      <c r="J54" s="3">
        <f>IF(C54="","",TODAY()-C54)</f>
        <v/>
      </c>
    </row>
    <row r="55">
      <c r="A55" s="5" t="inlineStr">
        <is>
          <t>UN0150</t>
        </is>
      </c>
      <c r="B55" s="3" t="inlineStr">
        <is>
          <t>63010011</t>
        </is>
      </c>
      <c r="C55" s="6" t="n">
        <v>44171</v>
      </c>
      <c r="D55" s="3" t="inlineStr">
        <is>
          <t>FZ</t>
        </is>
      </c>
      <c r="E55" s="3" t="inlineStr">
        <is>
          <t>LKR</t>
        </is>
      </c>
      <c r="F55" s="4" t="n">
        <v>-8753261.119999999</v>
      </c>
      <c r="G55" s="3" t="inlineStr">
        <is>
          <t>USD</t>
        </is>
      </c>
      <c r="H55" s="4" t="n">
        <v>-47007.47</v>
      </c>
      <c r="I55" s="5" t="n">
        <v/>
      </c>
      <c r="J55" s="3">
        <f>IF(C55="","",TODAY()-C55)</f>
        <v/>
      </c>
    </row>
    <row r="56">
      <c r="A56" s="5" t="inlineStr">
        <is>
          <t>XT0150</t>
        </is>
      </c>
      <c r="B56" s="3" t="inlineStr">
        <is>
          <t>63010011</t>
        </is>
      </c>
      <c r="C56" s="6" t="n">
        <v>44171</v>
      </c>
      <c r="D56" s="3" t="inlineStr">
        <is>
          <t>FZ</t>
        </is>
      </c>
      <c r="E56" s="3" t="inlineStr">
        <is>
          <t>LKR</t>
        </is>
      </c>
      <c r="F56" s="4" t="n">
        <v>-9414257.01</v>
      </c>
      <c r="G56" s="3" t="inlineStr">
        <is>
          <t>USD</t>
        </is>
      </c>
      <c r="H56" s="4" t="n">
        <v>-50557.2</v>
      </c>
      <c r="I56" s="5" t="inlineStr">
        <is>
          <t>NNREF EUBCNSFER REVERSEUL FRM 001-056936-040</t>
        </is>
      </c>
      <c r="J56" s="3">
        <f>IF(C56="","",TODAY()-C56)</f>
        <v/>
      </c>
    </row>
    <row r="57">
      <c r="A57" s="5" t="inlineStr">
        <is>
          <t>UN0150</t>
        </is>
      </c>
      <c r="B57" s="3" t="inlineStr">
        <is>
          <t>63010011</t>
        </is>
      </c>
      <c r="C57" s="6" t="n">
        <v>44171</v>
      </c>
      <c r="D57" s="3" t="inlineStr">
        <is>
          <t>FZ</t>
        </is>
      </c>
      <c r="E57" s="3" t="inlineStr">
        <is>
          <t>LKR</t>
        </is>
      </c>
      <c r="F57" s="4" t="n">
        <v>-8753261.119999999</v>
      </c>
      <c r="G57" s="3" t="inlineStr">
        <is>
          <t>USD</t>
        </is>
      </c>
      <c r="H57" s="4" t="n">
        <v>-47007.47</v>
      </c>
      <c r="I57" s="5" t="n">
        <v/>
      </c>
      <c r="J57" s="3">
        <f>IF(C57="","",TODAY()-C57)</f>
        <v/>
      </c>
    </row>
    <row r="58">
      <c r="A58" s="5" t="inlineStr">
        <is>
          <t>XT0150</t>
        </is>
      </c>
      <c r="B58" s="3" t="inlineStr">
        <is>
          <t>63010011</t>
        </is>
      </c>
      <c r="C58" s="6" t="n">
        <v>44171</v>
      </c>
      <c r="D58" s="3" t="inlineStr">
        <is>
          <t>FZ</t>
        </is>
      </c>
      <c r="E58" s="3" t="inlineStr">
        <is>
          <t>LKR</t>
        </is>
      </c>
      <c r="F58" s="4" t="n">
        <v>-93275000</v>
      </c>
      <c r="G58" s="3" t="inlineStr">
        <is>
          <t>USD</t>
        </is>
      </c>
      <c r="H58" s="4" t="n">
        <v>-500912.95</v>
      </c>
      <c r="I58" s="5" t="inlineStr">
        <is>
          <t>NNREF /FCBU/ 3310 331004 B/ BDYOPA DLL LTD FX</t>
        </is>
      </c>
      <c r="J58" s="3">
        <f>IF(C58="","",TODAY()-C58)</f>
        <v/>
      </c>
    </row>
    <row r="59">
      <c r="A59" s="5" t="inlineStr">
        <is>
          <t>XT0150</t>
        </is>
      </c>
      <c r="B59" s="3" t="inlineStr">
        <is>
          <t>63010011</t>
        </is>
      </c>
      <c r="C59" s="6" t="n">
        <v>44171</v>
      </c>
      <c r="D59" s="3" t="inlineStr">
        <is>
          <t>FZ</t>
        </is>
      </c>
      <c r="E59" s="3" t="inlineStr">
        <is>
          <t>LKR</t>
        </is>
      </c>
      <c r="F59" s="4" t="n">
        <v>-7561422.69</v>
      </c>
      <c r="G59" s="3" t="inlineStr">
        <is>
          <t>USD</t>
        </is>
      </c>
      <c r="H59" s="4" t="n">
        <v>-40606.96</v>
      </c>
      <c r="I59" s="5" t="inlineStr">
        <is>
          <t>NNREF EUBCNSFER REVERSEUL FRM 001-056936-040</t>
        </is>
      </c>
      <c r="J59" s="3">
        <f>IF(C59="","",TODAY()-C59)</f>
        <v/>
      </c>
    </row>
    <row r="60">
      <c r="A60" s="5" t="inlineStr">
        <is>
          <t>UN0150</t>
        </is>
      </c>
      <c r="B60" s="3" t="inlineStr">
        <is>
          <t>63010011</t>
        </is>
      </c>
      <c r="C60" s="6" t="n">
        <v>44171</v>
      </c>
      <c r="D60" s="3" t="inlineStr">
        <is>
          <t>FZ</t>
        </is>
      </c>
      <c r="E60" s="3" t="inlineStr">
        <is>
          <t>LKR</t>
        </is>
      </c>
      <c r="F60" s="4" t="n">
        <v>-8510209.58</v>
      </c>
      <c r="G60" s="3" t="inlineStr">
        <is>
          <t>USD</t>
        </is>
      </c>
      <c r="H60" s="4" t="n">
        <v>-45702.22</v>
      </c>
      <c r="I60" s="5" t="n">
        <v/>
      </c>
      <c r="J60" s="3">
        <f>IF(C60="","",TODAY()-C60)</f>
        <v/>
      </c>
    </row>
    <row r="61">
      <c r="A61" s="5" t="inlineStr">
        <is>
          <t>UN0100</t>
        </is>
      </c>
      <c r="B61" s="3" t="inlineStr">
        <is>
          <t>63010011</t>
        </is>
      </c>
      <c r="C61" s="6" t="n">
        <v>44171</v>
      </c>
      <c r="D61" s="3" t="inlineStr">
        <is>
          <t>JE</t>
        </is>
      </c>
      <c r="E61" s="3" t="inlineStr">
        <is>
          <t>LKR</t>
        </is>
      </c>
      <c r="F61" s="4" t="n">
        <v>15000000</v>
      </c>
      <c r="G61" s="3" t="inlineStr">
        <is>
          <t>USD</t>
        </is>
      </c>
      <c r="H61" s="4" t="n">
        <v>80554.21000000001</v>
      </c>
      <c r="I61" s="5" t="inlineStr">
        <is>
          <t>11062020SEU1 OPAEU wEUter DLL LTD</t>
        </is>
      </c>
      <c r="J61" s="3">
        <f>IF(C61="","",TODAY()-C61)</f>
        <v/>
      </c>
    </row>
    <row r="62">
      <c r="A62" s="5" t="inlineStr">
        <is>
          <t>UN0150</t>
        </is>
      </c>
      <c r="B62" s="3" t="inlineStr">
        <is>
          <t>63010011</t>
        </is>
      </c>
      <c r="C62" s="6" t="n">
        <v>44171</v>
      </c>
      <c r="D62" s="3" t="inlineStr">
        <is>
          <t>FZ</t>
        </is>
      </c>
      <c r="E62" s="3" t="inlineStr">
        <is>
          <t>LKR</t>
        </is>
      </c>
      <c r="F62" s="4" t="n">
        <v>-27000000</v>
      </c>
      <c r="G62" s="3" t="inlineStr">
        <is>
          <t>USD</t>
        </is>
      </c>
      <c r="H62" s="4" t="n">
        <v>-144997.58</v>
      </c>
      <c r="I62" s="5" t="inlineStr">
        <is>
          <t>99918896890118 CHEURGE WEUVED wEUter EUBCDNG GLBEUL (P</t>
        </is>
      </c>
      <c r="J62" s="3">
        <f>IF(C62="","",TODAY()-C62)</f>
        <v/>
      </c>
    </row>
    <row r="63">
      <c r="A63" s="5" t="inlineStr">
        <is>
          <t>UN0100</t>
        </is>
      </c>
      <c r="B63" s="3" t="inlineStr">
        <is>
          <t>63010011</t>
        </is>
      </c>
      <c r="C63" s="6" t="n">
        <v>44171</v>
      </c>
      <c r="D63" s="3" t="inlineStr">
        <is>
          <t>FZ</t>
        </is>
      </c>
      <c r="E63" s="3" t="inlineStr">
        <is>
          <t>LKR</t>
        </is>
      </c>
      <c r="F63" s="4" t="n">
        <v>-28000000</v>
      </c>
      <c r="G63" s="3" t="inlineStr">
        <is>
          <t>USD</t>
        </is>
      </c>
      <c r="H63" s="4" t="n">
        <v>-150367.86</v>
      </c>
      <c r="I63" s="5" t="inlineStr">
        <is>
          <t>99918896890120 CHEURGE WEUVED wEUter EUBCDNG GLBEUL (P</t>
        </is>
      </c>
      <c r="J63" s="3">
        <f>IF(C63="","",TODAY()-C63)</f>
        <v/>
      </c>
    </row>
    <row r="64">
      <c r="A64" s="5" t="inlineStr">
        <is>
          <t>XT0150</t>
        </is>
      </c>
      <c r="B64" s="3" t="inlineStr">
        <is>
          <t>63010011</t>
        </is>
      </c>
      <c r="C64" s="6" t="n">
        <v>44171</v>
      </c>
      <c r="D64" s="3" t="inlineStr">
        <is>
          <t>FZ</t>
        </is>
      </c>
      <c r="E64" s="3" t="inlineStr">
        <is>
          <t>LKR</t>
        </is>
      </c>
      <c r="F64" s="4" t="n">
        <v>-100836422.69</v>
      </c>
      <c r="G64" s="3" t="inlineStr">
        <is>
          <t>USD</t>
        </is>
      </c>
      <c r="H64" s="4" t="n">
        <v>-541519.91</v>
      </c>
      <c r="I64" s="5" t="inlineStr">
        <is>
          <t>NNREF EUBCNSFER REVERSEUL FRM 001-056936-040</t>
        </is>
      </c>
      <c r="J64" s="3">
        <f>IF(C64="","",TODAY()-C64)</f>
        <v/>
      </c>
    </row>
    <row r="65">
      <c r="A65" s="5" t="inlineStr">
        <is>
          <t>UN0150</t>
        </is>
      </c>
      <c r="B65" s="3" t="inlineStr">
        <is>
          <t>63010011</t>
        </is>
      </c>
      <c r="C65" s="6" t="n">
        <v>44171</v>
      </c>
      <c r="D65" s="3" t="inlineStr">
        <is>
          <t>FZ</t>
        </is>
      </c>
      <c r="E65" s="3" t="inlineStr">
        <is>
          <t>LKR</t>
        </is>
      </c>
      <c r="F65" s="4" t="n">
        <v>-150235.21</v>
      </c>
      <c r="G65" s="3" t="inlineStr">
        <is>
          <t>USD</t>
        </is>
      </c>
      <c r="H65" s="4" t="n">
        <v>-806.8099999999999</v>
      </c>
      <c r="I65" s="5" t="n">
        <v/>
      </c>
      <c r="J65" s="3">
        <f>IF(C65="","",TODAY()-C65)</f>
        <v/>
      </c>
    </row>
    <row r="66">
      <c r="A66" s="5" t="inlineStr">
        <is>
          <t>XT0150</t>
        </is>
      </c>
      <c r="B66" s="3" t="inlineStr">
        <is>
          <t>63010011</t>
        </is>
      </c>
      <c r="C66" s="6" t="n">
        <v>44171</v>
      </c>
      <c r="D66" s="3" t="inlineStr">
        <is>
          <t>FZ</t>
        </is>
      </c>
      <c r="E66" s="3" t="inlineStr">
        <is>
          <t>LKR</t>
        </is>
      </c>
      <c r="F66" s="4" t="n">
        <v>-100836422.69</v>
      </c>
      <c r="G66" s="3" t="inlineStr">
        <is>
          <t>USD</t>
        </is>
      </c>
      <c r="H66" s="4" t="n">
        <v>-541519.91</v>
      </c>
      <c r="I66" s="5" t="inlineStr">
        <is>
          <t>NNREF EUBCNSFER REVERSEUL FRM 001-056936-040</t>
        </is>
      </c>
      <c r="J66" s="3">
        <f>IF(C66="","",TODAY()-C66)</f>
        <v/>
      </c>
    </row>
    <row r="67">
      <c r="A67" s="5" t="inlineStr">
        <is>
          <t>UN0150</t>
        </is>
      </c>
      <c r="B67" s="3" t="inlineStr">
        <is>
          <t>63010011</t>
        </is>
      </c>
      <c r="C67" s="6" t="n">
        <v>44171</v>
      </c>
      <c r="D67" s="3" t="inlineStr">
        <is>
          <t>FZ</t>
        </is>
      </c>
      <c r="E67" s="3" t="inlineStr">
        <is>
          <t>LKR</t>
        </is>
      </c>
      <c r="F67" s="4" t="n">
        <v>-27074051.83</v>
      </c>
      <c r="G67" s="3" t="inlineStr">
        <is>
          <t>USD</t>
        </is>
      </c>
      <c r="H67" s="4" t="n">
        <v>-145395.26</v>
      </c>
      <c r="I67" s="5" t="inlineStr">
        <is>
          <t>NNREF EUBCNSFER REVERSEUL FRM 001-270206-040</t>
        </is>
      </c>
      <c r="J67" s="3">
        <f>IF(C67="","",TODAY()-C67)</f>
        <v/>
      </c>
    </row>
    <row r="68">
      <c r="A68" s="5" t="inlineStr">
        <is>
          <t>XT0150</t>
        </is>
      </c>
      <c r="B68" s="3" t="inlineStr">
        <is>
          <t>63010011</t>
        </is>
      </c>
      <c r="C68" s="6" t="n">
        <v>44171</v>
      </c>
      <c r="D68" s="3" t="inlineStr">
        <is>
          <t>FZ</t>
        </is>
      </c>
      <c r="E68" s="3" t="inlineStr">
        <is>
          <t>LKR</t>
        </is>
      </c>
      <c r="F68" s="4" t="n">
        <v>-74600000</v>
      </c>
      <c r="G68" s="3" t="inlineStr">
        <is>
          <t>USD</t>
        </is>
      </c>
      <c r="H68" s="4" t="n">
        <v>-400622.95</v>
      </c>
      <c r="I68" s="5" t="inlineStr">
        <is>
          <t>NNREF /FCBU/ 3310 331004 B/ BDYOPA DLL FX USD</t>
        </is>
      </c>
      <c r="J68" s="3">
        <f>IF(C68="","",TODAY()-C68)</f>
        <v/>
      </c>
    </row>
    <row r="69">
      <c r="A69" s="5" t="inlineStr">
        <is>
          <t>XT0150</t>
        </is>
      </c>
      <c r="B69" s="3" t="inlineStr">
        <is>
          <t>63010011</t>
        </is>
      </c>
      <c r="C69" s="6" t="n">
        <v>44171</v>
      </c>
      <c r="D69" s="3" t="inlineStr">
        <is>
          <t>FZ</t>
        </is>
      </c>
      <c r="E69" s="3" t="inlineStr">
        <is>
          <t>LKR</t>
        </is>
      </c>
      <c r="F69" s="4" t="n">
        <v>-21346794.34</v>
      </c>
      <c r="G69" s="3" t="inlineStr">
        <is>
          <t>USD</t>
        </is>
      </c>
      <c r="H69" s="4" t="n">
        <v>-114638.28</v>
      </c>
      <c r="I69" s="5" t="inlineStr">
        <is>
          <t>NNREF EUBCNSFER REVERSEUL FRM 001-056936-040</t>
        </is>
      </c>
      <c r="J69" s="3">
        <f>IF(C69="","",TODAY()-C69)</f>
        <v/>
      </c>
    </row>
    <row r="70">
      <c r="A70" s="5" t="inlineStr">
        <is>
          <t>UN0150</t>
        </is>
      </c>
      <c r="B70" s="3" t="inlineStr">
        <is>
          <t>63010011</t>
        </is>
      </c>
      <c r="C70" s="6" t="n">
        <v>44171</v>
      </c>
      <c r="D70" s="3" t="inlineStr">
        <is>
          <t>FZ</t>
        </is>
      </c>
      <c r="E70" s="3" t="inlineStr">
        <is>
          <t>LKR</t>
        </is>
      </c>
      <c r="F70" s="4" t="n">
        <v>-18038698.1</v>
      </c>
      <c r="G70" s="3" t="inlineStr">
        <is>
          <t>USD</t>
        </is>
      </c>
      <c r="H70" s="4" t="n">
        <v>-96872.88</v>
      </c>
      <c r="I70" s="5" t="inlineStr">
        <is>
          <t>NNREF EUBCNSFER REVERSEUL FRM 001-270206-040</t>
        </is>
      </c>
      <c r="J70" s="3">
        <f>IF(C70="","",TODAY()-C70)</f>
        <v/>
      </c>
    </row>
    <row r="71">
      <c r="A71" s="5" t="inlineStr">
        <is>
          <t>UN0150</t>
        </is>
      </c>
      <c r="B71" s="3" t="inlineStr">
        <is>
          <t>63010011</t>
        </is>
      </c>
      <c r="C71" s="6" t="n">
        <v>44171</v>
      </c>
      <c r="D71" s="3" t="inlineStr">
        <is>
          <t>FZ</t>
        </is>
      </c>
      <c r="E71" s="3" t="inlineStr">
        <is>
          <t>LKR</t>
        </is>
      </c>
      <c r="F71" s="4" t="n">
        <v>-92250</v>
      </c>
      <c r="G71" s="3" t="inlineStr">
        <is>
          <t>USD</t>
        </is>
      </c>
      <c r="H71" s="4" t="n">
        <v>-495.41</v>
      </c>
      <c r="I71" s="5" t="inlineStr">
        <is>
          <t>Sprt OPAEU wEUter DLL LTD</t>
        </is>
      </c>
      <c r="J71" s="3">
        <f>IF(C71="","",TODAY()-C71)</f>
        <v/>
      </c>
    </row>
    <row r="72">
      <c r="A72" s="5" t="inlineStr">
        <is>
          <t>XT0150</t>
        </is>
      </c>
      <c r="B72" s="3" t="inlineStr">
        <is>
          <t>63010011</t>
        </is>
      </c>
      <c r="C72" s="6" t="n">
        <v>44171</v>
      </c>
      <c r="D72" s="3" t="inlineStr">
        <is>
          <t>FZ</t>
        </is>
      </c>
      <c r="E72" s="3" t="inlineStr">
        <is>
          <t>LKR</t>
        </is>
      </c>
      <c r="F72" s="4" t="n">
        <v>-30940294.34</v>
      </c>
      <c r="G72" s="3" t="inlineStr">
        <is>
          <t>USD</t>
        </is>
      </c>
      <c r="H72" s="4" t="n">
        <v>-166158.07</v>
      </c>
      <c r="I72" s="5" t="inlineStr">
        <is>
          <t>NNREF EUBCNSFER REVERSEUL FRM 001-056936-040</t>
        </is>
      </c>
      <c r="J72" s="3">
        <f>IF(C72="","",TODAY()-C72)</f>
        <v/>
      </c>
    </row>
    <row r="73">
      <c r="A73" s="5" t="inlineStr">
        <is>
          <t>UN0150</t>
        </is>
      </c>
      <c r="B73" s="3" t="inlineStr">
        <is>
          <t>63010011</t>
        </is>
      </c>
      <c r="C73" s="6" t="n">
        <v>44171</v>
      </c>
      <c r="D73" s="3" t="inlineStr">
        <is>
          <t>FZ</t>
        </is>
      </c>
      <c r="E73" s="3" t="inlineStr">
        <is>
          <t>LKR</t>
        </is>
      </c>
      <c r="F73" s="4" t="n">
        <v>-17196369.52</v>
      </c>
      <c r="G73" s="3" t="inlineStr">
        <is>
          <t>USD</t>
        </is>
      </c>
      <c r="H73" s="4" t="n">
        <v>-92349.33</v>
      </c>
      <c r="I73" s="5" t="inlineStr">
        <is>
          <t>NNREF EUBCNSFER REVERSEUL FRM 001-270206-040</t>
        </is>
      </c>
      <c r="J73" s="3">
        <f>IF(C73="","",TODAY()-C73)</f>
        <v/>
      </c>
    </row>
    <row r="74">
      <c r="A74" s="5" t="inlineStr">
        <is>
          <t>XT0150</t>
        </is>
      </c>
      <c r="B74" s="3" t="inlineStr">
        <is>
          <t>63010011</t>
        </is>
      </c>
      <c r="C74" s="6" t="n">
        <v>44171</v>
      </c>
      <c r="D74" s="3" t="inlineStr">
        <is>
          <t>FZ</t>
        </is>
      </c>
      <c r="E74" s="3" t="inlineStr">
        <is>
          <t>LKR</t>
        </is>
      </c>
      <c r="F74" s="4" t="n">
        <v>-30940294.34</v>
      </c>
      <c r="G74" s="3" t="inlineStr">
        <is>
          <t>USD</t>
        </is>
      </c>
      <c r="H74" s="4" t="n">
        <v>-166158.07</v>
      </c>
      <c r="I74" s="5" t="n">
        <v/>
      </c>
      <c r="J74" s="3">
        <f>IF(C74="","",TODAY()-C74)</f>
        <v/>
      </c>
    </row>
    <row r="75">
      <c r="A75" s="5" t="inlineStr">
        <is>
          <t>UN0150</t>
        </is>
      </c>
      <c r="B75" s="3" t="inlineStr">
        <is>
          <t>63010011</t>
        </is>
      </c>
      <c r="C75" s="6" t="n">
        <v>44171</v>
      </c>
      <c r="D75" s="3" t="inlineStr">
        <is>
          <t>FZ</t>
        </is>
      </c>
      <c r="E75" s="3" t="inlineStr">
        <is>
          <t>LKR</t>
        </is>
      </c>
      <c r="F75" s="4" t="n">
        <v>-17196369.52</v>
      </c>
      <c r="G75" s="3" t="inlineStr">
        <is>
          <t>USD</t>
        </is>
      </c>
      <c r="H75" s="4" t="n">
        <v>-92349.33</v>
      </c>
      <c r="I75" s="5" t="inlineStr">
        <is>
          <t>NNREF EUBCNSFER REVERSEUL FRM 001-270206-040</t>
        </is>
      </c>
      <c r="J75" s="3">
        <f>IF(C75="","",TODAY()-C75)</f>
        <v/>
      </c>
    </row>
    <row r="76">
      <c r="A76" s="7" t="n"/>
      <c r="B76" s="7" t="n"/>
      <c r="C76" s="7" t="n"/>
      <c r="D76" s="7" t="n"/>
      <c r="E76" s="7" t="n"/>
      <c r="F76" s="8">
        <f>SUM(F4:F75)</f>
        <v/>
      </c>
      <c r="G76" s="7" t="n"/>
      <c r="H76" s="8">
        <f>SUM(H4:H75)</f>
        <v/>
      </c>
      <c r="I76" s="7" t="n"/>
      <c r="J76" s="7" t="n"/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3" customWidth="1" min="9" max="9"/>
    <col width="30" customWidth="1" min="10" max="10"/>
  </cols>
  <sheetData>
    <row r="1"/>
    <row r="2">
      <c r="A2" s="1" t="inlineStr">
        <is>
          <t>Account: 63010012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UN0150</t>
        </is>
      </c>
      <c r="B4" s="3" t="inlineStr">
        <is>
          <t>63010012</t>
        </is>
      </c>
      <c r="C4" s="6" t="n">
        <v>43836</v>
      </c>
      <c r="D4" s="3" t="inlineStr">
        <is>
          <t>FZ</t>
        </is>
      </c>
      <c r="E4" s="3" t="inlineStr">
        <is>
          <t>LKR</t>
        </is>
      </c>
      <c r="F4" s="4" t="n">
        <v>73118.77</v>
      </c>
      <c r="G4" s="3" t="inlineStr">
        <is>
          <t>USD</t>
        </is>
      </c>
      <c r="H4" s="4" t="n">
        <v>386.36</v>
      </c>
      <c r="I4" s="5" t="inlineStr">
        <is>
          <t>210343 CLEEURNG CHEQUES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63010012</t>
        </is>
      </c>
      <c r="C5" s="6" t="n">
        <v>43836</v>
      </c>
      <c r="D5" s="3" t="inlineStr">
        <is>
          <t>FZ</t>
        </is>
      </c>
      <c r="E5" s="3" t="inlineStr">
        <is>
          <t>LKR</t>
        </is>
      </c>
      <c r="F5" s="4" t="n">
        <v>287011</v>
      </c>
      <c r="G5" s="3" t="inlineStr">
        <is>
          <t>USD</t>
        </is>
      </c>
      <c r="H5" s="4" t="n">
        <v>1541.33</v>
      </c>
      <c r="I5" s="5" t="inlineStr">
        <is>
          <t>2300044523 2300044523 SERVCE PEUYMENTS PRNT FRM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63010012</t>
        </is>
      </c>
      <c r="C6" s="6" t="n">
        <v>43836</v>
      </c>
      <c r="D6" s="3" t="inlineStr">
        <is>
          <t>FZ</t>
        </is>
      </c>
      <c r="E6" s="3" t="inlineStr">
        <is>
          <t>LKR</t>
        </is>
      </c>
      <c r="F6" s="4" t="n">
        <v>66852</v>
      </c>
      <c r="G6" s="3" t="inlineStr">
        <is>
          <t>USD</t>
        </is>
      </c>
      <c r="H6" s="4" t="n">
        <v>359.01</v>
      </c>
      <c r="I6" s="5" t="inlineStr">
        <is>
          <t>2300044589 2300044589 SERVCE PEUYMENTS PRNT FRM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63010012</t>
        </is>
      </c>
      <c r="C7" s="6" t="n">
        <v>43836</v>
      </c>
      <c r="D7" s="3" t="inlineStr">
        <is>
          <t>FZ</t>
        </is>
      </c>
      <c r="E7" s="3" t="inlineStr">
        <is>
          <t>LKR</t>
        </is>
      </c>
      <c r="F7" s="4" t="n">
        <v>579200</v>
      </c>
      <c r="G7" s="3" t="inlineStr">
        <is>
          <t>USD</t>
        </is>
      </c>
      <c r="H7" s="4" t="n">
        <v>3110.47</v>
      </c>
      <c r="I7" s="5" t="inlineStr">
        <is>
          <t>2300044525 2300044525 SERVCE PEUYMENTS PRNT FRM</t>
        </is>
      </c>
      <c r="J7" s="3">
        <f>IF(C7="","",TODAY()-C7)</f>
        <v/>
      </c>
    </row>
    <row r="8">
      <c r="A8" s="5" t="inlineStr">
        <is>
          <t>UN0150</t>
        </is>
      </c>
      <c r="B8" s="3" t="inlineStr">
        <is>
          <t>63010012</t>
        </is>
      </c>
      <c r="C8" s="6" t="n">
        <v>43867</v>
      </c>
      <c r="D8" s="3" t="inlineStr">
        <is>
          <t>FZ</t>
        </is>
      </c>
      <c r="E8" s="3" t="inlineStr">
        <is>
          <t>LKR</t>
        </is>
      </c>
      <c r="F8" s="4" t="n">
        <v>65390.77</v>
      </c>
      <c r="G8" s="3" t="inlineStr">
        <is>
          <t>USD</t>
        </is>
      </c>
      <c r="H8" s="4" t="n">
        <v>345.53</v>
      </c>
      <c r="I8" s="5" t="inlineStr">
        <is>
          <t>210344 CLEEURNG CHEQUES</t>
        </is>
      </c>
      <c r="J8" s="3">
        <f>IF(C8="","",TODAY()-C8)</f>
        <v/>
      </c>
    </row>
    <row r="9">
      <c r="A9" s="5" t="inlineStr">
        <is>
          <t>UN0150</t>
        </is>
      </c>
      <c r="B9" s="3" t="inlineStr">
        <is>
          <t>63010012</t>
        </is>
      </c>
      <c r="C9" s="6" t="n">
        <v>43867</v>
      </c>
      <c r="D9" s="3" t="inlineStr">
        <is>
          <t>FZ</t>
        </is>
      </c>
      <c r="E9" s="3" t="inlineStr">
        <is>
          <t>LKR</t>
        </is>
      </c>
      <c r="F9" s="4" t="n">
        <v>75050.77</v>
      </c>
      <c r="G9" s="3" t="inlineStr">
        <is>
          <t>USD</t>
        </is>
      </c>
      <c r="H9" s="4" t="n">
        <v>393.53</v>
      </c>
      <c r="I9" s="5" t="inlineStr">
        <is>
          <t>210367 CLEEURNG CHEQUES</t>
        </is>
      </c>
      <c r="J9" s="3">
        <f>IF(C9="","",TODAY()-C9)</f>
        <v/>
      </c>
    </row>
    <row r="10">
      <c r="A10" s="5" t="inlineStr">
        <is>
          <t>UN0150</t>
        </is>
      </c>
      <c r="B10" s="3" t="inlineStr">
        <is>
          <t>63010012</t>
        </is>
      </c>
      <c r="C10" s="6" t="n">
        <v>43867</v>
      </c>
      <c r="D10" s="3" t="inlineStr">
        <is>
          <t>FZ</t>
        </is>
      </c>
      <c r="E10" s="3" t="inlineStr">
        <is>
          <t>LKR</t>
        </is>
      </c>
      <c r="F10" s="4" t="n">
        <v>600000</v>
      </c>
      <c r="G10" s="3" t="inlineStr">
        <is>
          <t>USD</t>
        </is>
      </c>
      <c r="H10" s="4" t="n">
        <v>3146.14</v>
      </c>
      <c r="I10" s="5" t="inlineStr">
        <is>
          <t>210389 CLEEURNG CHEQUES</t>
        </is>
      </c>
      <c r="J10" s="3">
        <f>IF(C10="","",TODAY()-C10)</f>
        <v/>
      </c>
    </row>
    <row r="11">
      <c r="A11" s="5" t="inlineStr">
        <is>
          <t>UN0150</t>
        </is>
      </c>
      <c r="B11" s="3" t="inlineStr">
        <is>
          <t>63010012</t>
        </is>
      </c>
      <c r="C11" s="6" t="n">
        <v>43867</v>
      </c>
      <c r="D11" s="3" t="inlineStr">
        <is>
          <t>FZ</t>
        </is>
      </c>
      <c r="E11" s="3" t="inlineStr">
        <is>
          <t>LKR</t>
        </is>
      </c>
      <c r="F11" s="4" t="n">
        <v>200000</v>
      </c>
      <c r="G11" s="3" t="inlineStr">
        <is>
          <t>USD</t>
        </is>
      </c>
      <c r="H11" s="4" t="n">
        <v>1048.71</v>
      </c>
      <c r="I11" s="5" t="inlineStr">
        <is>
          <t>210390 CLEEURNG CHEQUES</t>
        </is>
      </c>
      <c r="J11" s="3">
        <f>IF(C11="","",TODAY()-C11)</f>
        <v/>
      </c>
    </row>
    <row r="12">
      <c r="A12" s="5" t="inlineStr">
        <is>
          <t>UN0100</t>
        </is>
      </c>
      <c r="B12" s="3" t="inlineStr">
        <is>
          <t>63010012</t>
        </is>
      </c>
      <c r="C12" s="6" t="n">
        <v>43867</v>
      </c>
      <c r="D12" s="3" t="inlineStr">
        <is>
          <t>FZ</t>
        </is>
      </c>
      <c r="E12" s="3" t="inlineStr">
        <is>
          <t>LKR</t>
        </is>
      </c>
      <c r="F12" s="4" t="n">
        <v>175951.48</v>
      </c>
      <c r="G12" s="3" t="inlineStr">
        <is>
          <t>USD</t>
        </is>
      </c>
      <c r="H12" s="4" t="n">
        <v>944.91</v>
      </c>
      <c r="I12" s="5" t="inlineStr">
        <is>
          <t>2600000261 2600000261 PURCHEUSE F SERVCES DSV PER</t>
        </is>
      </c>
      <c r="J12" s="3">
        <f>IF(C12="","",TODAY()-C12)</f>
        <v/>
      </c>
    </row>
    <row r="13">
      <c r="A13" s="5" t="inlineStr">
        <is>
          <t>UN0100</t>
        </is>
      </c>
      <c r="B13" s="3" t="inlineStr">
        <is>
          <t>63010012</t>
        </is>
      </c>
      <c r="C13" s="6" t="n">
        <v>43896</v>
      </c>
      <c r="D13" s="3" t="inlineStr">
        <is>
          <t>FZ</t>
        </is>
      </c>
      <c r="E13" s="3" t="inlineStr">
        <is>
          <t>LKR</t>
        </is>
      </c>
      <c r="F13" s="4" t="n">
        <v>9550</v>
      </c>
      <c r="G13" s="3" t="inlineStr">
        <is>
          <t>USD</t>
        </is>
      </c>
      <c r="H13" s="4" t="n">
        <v>50.46</v>
      </c>
      <c r="I13" s="5" t="inlineStr">
        <is>
          <t>000339 CLEEURNG CHEQUES</t>
        </is>
      </c>
      <c r="J13" s="3">
        <f>IF(C13="","",TODAY()-C13)</f>
        <v/>
      </c>
    </row>
    <row r="14">
      <c r="A14" s="5" t="inlineStr">
        <is>
          <t>UN0150</t>
        </is>
      </c>
      <c r="B14" s="3" t="inlineStr">
        <is>
          <t>63010012</t>
        </is>
      </c>
      <c r="C14" s="6" t="n">
        <v>43896</v>
      </c>
      <c r="D14" s="3" t="inlineStr">
        <is>
          <t>FZ</t>
        </is>
      </c>
      <c r="E14" s="3" t="inlineStr">
        <is>
          <t>LKR</t>
        </is>
      </c>
      <c r="F14" s="4" t="n">
        <v>21000</v>
      </c>
      <c r="G14" s="3" t="inlineStr">
        <is>
          <t>USD</t>
        </is>
      </c>
      <c r="H14" s="4" t="n">
        <v>110.96</v>
      </c>
      <c r="I14" s="5" t="inlineStr">
        <is>
          <t>210353 CLEEURNG CHEQUES</t>
        </is>
      </c>
      <c r="J14" s="3">
        <f>IF(C14="","",TODAY()-C14)</f>
        <v/>
      </c>
    </row>
    <row r="15">
      <c r="A15" s="5" t="inlineStr">
        <is>
          <t>UN0150</t>
        </is>
      </c>
      <c r="B15" s="3" t="inlineStr">
        <is>
          <t>63010012</t>
        </is>
      </c>
      <c r="C15" s="6" t="n">
        <v>43896</v>
      </c>
      <c r="D15" s="3" t="inlineStr">
        <is>
          <t>FZ</t>
        </is>
      </c>
      <c r="E15" s="3" t="inlineStr">
        <is>
          <t>LKR</t>
        </is>
      </c>
      <c r="F15" s="4" t="n">
        <v>782450.45</v>
      </c>
      <c r="G15" s="3" t="inlineStr">
        <is>
          <t>USD</t>
        </is>
      </c>
      <c r="H15" s="4" t="n">
        <v>4102.83</v>
      </c>
      <c r="I15" s="5" t="inlineStr">
        <is>
          <t>210363 CLEEURNG CHEQUES</t>
        </is>
      </c>
      <c r="J15" s="3">
        <f>IF(C15="","",TODAY()-C15)</f>
        <v/>
      </c>
    </row>
    <row r="16">
      <c r="A16" s="5" t="inlineStr">
        <is>
          <t>UN0150</t>
        </is>
      </c>
      <c r="B16" s="3" t="inlineStr">
        <is>
          <t>63010012</t>
        </is>
      </c>
      <c r="C16" s="6" t="n">
        <v>43896</v>
      </c>
      <c r="D16" s="3" t="inlineStr">
        <is>
          <t>FZ</t>
        </is>
      </c>
      <c r="E16" s="3" t="inlineStr">
        <is>
          <t>LKR</t>
        </is>
      </c>
      <c r="F16" s="4" t="n">
        <v>1362779.3</v>
      </c>
      <c r="G16" s="3" t="inlineStr">
        <is>
          <t>USD</t>
        </is>
      </c>
      <c r="H16" s="4" t="n">
        <v>7145.82</v>
      </c>
      <c r="I16" s="5" t="inlineStr">
        <is>
          <t>210364 CLEEURNG CHEQUES</t>
        </is>
      </c>
      <c r="J16" s="3">
        <f>IF(C16="","",TODAY()-C16)</f>
        <v/>
      </c>
    </row>
    <row r="17">
      <c r="A17" s="5" t="inlineStr">
        <is>
          <t>XT0150</t>
        </is>
      </c>
      <c r="B17" s="3" t="inlineStr">
        <is>
          <t>63010012</t>
        </is>
      </c>
      <c r="C17" s="6" t="n">
        <v>43896</v>
      </c>
      <c r="D17" s="3" t="inlineStr">
        <is>
          <t>FZ</t>
        </is>
      </c>
      <c r="E17" s="3" t="inlineStr">
        <is>
          <t>LKR</t>
        </is>
      </c>
      <c r="F17" s="4" t="n">
        <v>71310.39999999999</v>
      </c>
      <c r="G17" s="3" t="inlineStr">
        <is>
          <t>USD</t>
        </is>
      </c>
      <c r="H17" s="4" t="n">
        <v>373.92</v>
      </c>
      <c r="I17" s="5" t="inlineStr">
        <is>
          <t>8900018889 EUUTPEUY UT 032 201889529-B295J</t>
        </is>
      </c>
      <c r="J17" s="3">
        <f>IF(C17="","",TODAY()-C17)</f>
        <v/>
      </c>
    </row>
    <row r="18">
      <c r="A18" s="5" t="inlineStr">
        <is>
          <t>XT0150</t>
        </is>
      </c>
      <c r="B18" s="3" t="inlineStr">
        <is>
          <t>63010012</t>
        </is>
      </c>
      <c r="C18" s="6" t="n">
        <v>43896</v>
      </c>
      <c r="D18" s="3" t="inlineStr">
        <is>
          <t>FZ</t>
        </is>
      </c>
      <c r="E18" s="3" t="inlineStr">
        <is>
          <t>LKR</t>
        </is>
      </c>
      <c r="F18" s="4" t="n">
        <v>72202.10000000001</v>
      </c>
      <c r="G18" s="3" t="inlineStr">
        <is>
          <t>USD</t>
        </is>
      </c>
      <c r="H18" s="4" t="n">
        <v>378.6</v>
      </c>
      <c r="I18" s="5" t="inlineStr">
        <is>
          <t>8900018825 EUUTPEUY UT 033 201889529-B295H</t>
        </is>
      </c>
      <c r="J18" s="3">
        <f>IF(C18="","",TODAY()-C18)</f>
        <v/>
      </c>
    </row>
    <row r="19">
      <c r="A19" s="5" t="inlineStr">
        <is>
          <t>XT0150</t>
        </is>
      </c>
      <c r="B19" s="3" t="inlineStr">
        <is>
          <t>63010012</t>
        </is>
      </c>
      <c r="C19" s="6" t="n">
        <v>43896</v>
      </c>
      <c r="D19" s="3" t="inlineStr">
        <is>
          <t>FZ</t>
        </is>
      </c>
      <c r="E19" s="3" t="inlineStr">
        <is>
          <t>LKR</t>
        </is>
      </c>
      <c r="F19" s="4" t="n">
        <v>8492.309999999999</v>
      </c>
      <c r="G19" s="3" t="inlineStr">
        <is>
          <t>USD</t>
        </is>
      </c>
      <c r="H19" s="4" t="n">
        <v>44.53</v>
      </c>
      <c r="I19" s="5" t="inlineStr">
        <is>
          <t>8900018826 EUUTPEUY UT 034 201889529-B295G</t>
        </is>
      </c>
      <c r="J19" s="3">
        <f>IF(C19="","",TODAY()-C19)</f>
        <v/>
      </c>
    </row>
    <row r="20">
      <c r="A20" s="5" t="inlineStr">
        <is>
          <t>XT0150</t>
        </is>
      </c>
      <c r="B20" s="3" t="inlineStr">
        <is>
          <t>63010012</t>
        </is>
      </c>
      <c r="C20" s="6" t="n">
        <v>43896</v>
      </c>
      <c r="D20" s="3" t="inlineStr">
        <is>
          <t>FZ</t>
        </is>
      </c>
      <c r="E20" s="3" t="inlineStr">
        <is>
          <t>LKR</t>
        </is>
      </c>
      <c r="F20" s="4" t="n">
        <v>859.85</v>
      </c>
      <c r="G20" s="3" t="inlineStr">
        <is>
          <t>USD</t>
        </is>
      </c>
      <c r="H20" s="4" t="n">
        <v>4.51</v>
      </c>
      <c r="I20" s="5" t="inlineStr">
        <is>
          <t>8900018827 EUUTPEUY UT 035 201889529-B295F</t>
        </is>
      </c>
      <c r="J20" s="3">
        <f>IF(C20="","",TODAY()-C20)</f>
        <v/>
      </c>
    </row>
    <row r="21">
      <c r="A21" s="5" t="inlineStr">
        <is>
          <t>XT0150</t>
        </is>
      </c>
      <c r="B21" s="3" t="inlineStr">
        <is>
          <t>63010012</t>
        </is>
      </c>
      <c r="C21" s="6" t="n">
        <v>43896</v>
      </c>
      <c r="D21" s="3" t="inlineStr">
        <is>
          <t>FZ</t>
        </is>
      </c>
      <c r="E21" s="3" t="inlineStr">
        <is>
          <t>LKR</t>
        </is>
      </c>
      <c r="F21" s="4" t="n">
        <v>5944.62</v>
      </c>
      <c r="G21" s="3" t="inlineStr">
        <is>
          <t>USD</t>
        </is>
      </c>
      <c r="H21" s="4" t="n">
        <v>31.17</v>
      </c>
      <c r="I21" s="5" t="inlineStr">
        <is>
          <t>8900018828 EUUTPEUY UT 036 201889529-B295D</t>
        </is>
      </c>
      <c r="J21" s="3">
        <f>IF(C21="","",TODAY()-C21)</f>
        <v/>
      </c>
    </row>
    <row r="22">
      <c r="A22" s="5" t="inlineStr">
        <is>
          <t>XT0150</t>
        </is>
      </c>
      <c r="B22" s="3" t="inlineStr">
        <is>
          <t>63010012</t>
        </is>
      </c>
      <c r="C22" s="6" t="n">
        <v>43896</v>
      </c>
      <c r="D22" s="3" t="inlineStr">
        <is>
          <t>FZ</t>
        </is>
      </c>
      <c r="E22" s="3" t="inlineStr">
        <is>
          <t>LKR</t>
        </is>
      </c>
      <c r="F22" s="4" t="n">
        <v>5095.38</v>
      </c>
      <c r="G22" s="3" t="inlineStr">
        <is>
          <t>USD</t>
        </is>
      </c>
      <c r="H22" s="4" t="n">
        <v>26.72</v>
      </c>
      <c r="I22" s="5" t="inlineStr">
        <is>
          <t>8900018829 EUUTPEUY UT 037 201889529-B295S</t>
        </is>
      </c>
      <c r="J22" s="3">
        <f>IF(C22="","",TODAY()-C22)</f>
        <v/>
      </c>
    </row>
    <row r="23">
      <c r="A23" s="5" t="inlineStr">
        <is>
          <t>XT0150</t>
        </is>
      </c>
      <c r="B23" s="3" t="inlineStr">
        <is>
          <t>63010012</t>
        </is>
      </c>
      <c r="C23" s="6" t="n">
        <v>43896</v>
      </c>
      <c r="D23" s="3" t="inlineStr">
        <is>
          <t>FZ</t>
        </is>
      </c>
      <c r="E23" s="3" t="inlineStr">
        <is>
          <t>LKR</t>
        </is>
      </c>
      <c r="F23" s="4" t="n">
        <v>870.46</v>
      </c>
      <c r="G23" s="3" t="inlineStr">
        <is>
          <t>USD</t>
        </is>
      </c>
      <c r="H23" s="4" t="n">
        <v>4.56</v>
      </c>
      <c r="I23" s="5" t="inlineStr">
        <is>
          <t>8900018830 EUUTPEUY UT 038 201889529-B295EU</t>
        </is>
      </c>
      <c r="J23" s="3">
        <f>IF(C23="","",TODAY()-C23)</f>
        <v/>
      </c>
    </row>
    <row r="24">
      <c r="A24" s="5" t="inlineStr">
        <is>
          <t>XT0150</t>
        </is>
      </c>
      <c r="B24" s="3" t="inlineStr">
        <is>
          <t>63010012</t>
        </is>
      </c>
      <c r="C24" s="6" t="n">
        <v>43896</v>
      </c>
      <c r="D24" s="3" t="inlineStr">
        <is>
          <t>FZ</t>
        </is>
      </c>
      <c r="E24" s="3" t="inlineStr">
        <is>
          <t>LKR</t>
        </is>
      </c>
      <c r="F24" s="4" t="n">
        <v>963575</v>
      </c>
      <c r="G24" s="3" t="inlineStr">
        <is>
          <t>USD</t>
        </is>
      </c>
      <c r="H24" s="4" t="n">
        <v>5052.57</v>
      </c>
      <c r="I24" s="5" t="inlineStr">
        <is>
          <t>8900018832 EUUTPEUY UT 039 201889529-B295N</t>
        </is>
      </c>
      <c r="J24" s="3">
        <f>IF(C24="","",TODAY()-C24)</f>
        <v/>
      </c>
    </row>
    <row r="25">
      <c r="A25" s="5" t="inlineStr">
        <is>
          <t>XT0150</t>
        </is>
      </c>
      <c r="B25" s="3" t="inlineStr">
        <is>
          <t>63010012</t>
        </is>
      </c>
      <c r="C25" s="6" t="n">
        <v>43896</v>
      </c>
      <c r="D25" s="3" t="inlineStr">
        <is>
          <t>FZ</t>
        </is>
      </c>
      <c r="E25" s="3" t="inlineStr">
        <is>
          <t>LKR</t>
        </is>
      </c>
      <c r="F25" s="4" t="n">
        <v>519975</v>
      </c>
      <c r="G25" s="3" t="inlineStr">
        <is>
          <t>USD</t>
        </is>
      </c>
      <c r="H25" s="4" t="n">
        <v>2726.52</v>
      </c>
      <c r="I25" s="5" t="inlineStr">
        <is>
          <t>8900018833 EUUTPEUY UT 040 201889529-B295M</t>
        </is>
      </c>
      <c r="J25" s="3">
        <f>IF(C25="","",TODAY()-C25)</f>
        <v/>
      </c>
    </row>
    <row r="26">
      <c r="A26" s="5" t="inlineStr">
        <is>
          <t>XT0150</t>
        </is>
      </c>
      <c r="B26" s="3" t="inlineStr">
        <is>
          <t>63010012</t>
        </is>
      </c>
      <c r="C26" s="6" t="n">
        <v>43896</v>
      </c>
      <c r="D26" s="3" t="inlineStr">
        <is>
          <t>FZ</t>
        </is>
      </c>
      <c r="E26" s="3" t="inlineStr">
        <is>
          <t>LKR</t>
        </is>
      </c>
      <c r="F26" s="4" t="n">
        <v>49460.62</v>
      </c>
      <c r="G26" s="3" t="inlineStr">
        <is>
          <t>USD</t>
        </is>
      </c>
      <c r="H26" s="4" t="n">
        <v>265.62</v>
      </c>
      <c r="I26" s="5" t="inlineStr">
        <is>
          <t>8900018836 EUUTPEUY UT 041 201889601-B106S</t>
        </is>
      </c>
      <c r="J26" s="3">
        <f>IF(C26="","",TODAY()-C26)</f>
        <v/>
      </c>
    </row>
    <row r="27">
      <c r="A27" s="5" t="inlineStr">
        <is>
          <t>XT0150</t>
        </is>
      </c>
      <c r="B27" s="3" t="inlineStr">
        <is>
          <t>63010012</t>
        </is>
      </c>
      <c r="C27" s="6" t="n">
        <v>43896</v>
      </c>
      <c r="D27" s="3" t="inlineStr">
        <is>
          <t>FZ</t>
        </is>
      </c>
      <c r="E27" s="3" t="inlineStr">
        <is>
          <t>LKR</t>
        </is>
      </c>
      <c r="F27" s="4" t="n">
        <v>77428.62</v>
      </c>
      <c r="G27" s="3" t="inlineStr">
        <is>
          <t>USD</t>
        </is>
      </c>
      <c r="H27" s="4" t="n">
        <v>415.81</v>
      </c>
      <c r="I27" s="5" t="inlineStr">
        <is>
          <t>8900018841 EUUTPEUY UT 042 201889602-B206S</t>
        </is>
      </c>
      <c r="J27" s="3">
        <f>IF(C27="","",TODAY()-C27)</f>
        <v/>
      </c>
    </row>
    <row r="28">
      <c r="A28" s="5" t="inlineStr">
        <is>
          <t>XT0150</t>
        </is>
      </c>
      <c r="B28" s="3" t="inlineStr">
        <is>
          <t>63010012</t>
        </is>
      </c>
      <c r="C28" s="6" t="n">
        <v>43896</v>
      </c>
      <c r="D28" s="3" t="inlineStr">
        <is>
          <t>FZ</t>
        </is>
      </c>
      <c r="E28" s="3" t="inlineStr">
        <is>
          <t>LKR</t>
        </is>
      </c>
      <c r="F28" s="4" t="n">
        <v>72227.08</v>
      </c>
      <c r="G28" s="3" t="inlineStr">
        <is>
          <t>USD</t>
        </is>
      </c>
      <c r="H28" s="4" t="n">
        <v>387.88</v>
      </c>
      <c r="I28" s="5" t="inlineStr">
        <is>
          <t>8900018842 EUUTPEUY UT 043 201889602-B206EU</t>
        </is>
      </c>
      <c r="J28" s="3">
        <f>IF(C28="","",TODAY()-C28)</f>
        <v/>
      </c>
    </row>
    <row r="29">
      <c r="A29" s="5" t="inlineStr">
        <is>
          <t>XT0150</t>
        </is>
      </c>
      <c r="B29" s="3" t="inlineStr">
        <is>
          <t>63010012</t>
        </is>
      </c>
      <c r="C29" s="6" t="n">
        <v>43896</v>
      </c>
      <c r="D29" s="3" t="inlineStr">
        <is>
          <t>FZ</t>
        </is>
      </c>
      <c r="E29" s="3" t="inlineStr">
        <is>
          <t>LKR</t>
        </is>
      </c>
      <c r="F29" s="4" t="n">
        <v>53462.62</v>
      </c>
      <c r="G29" s="3" t="inlineStr">
        <is>
          <t>USD</t>
        </is>
      </c>
      <c r="H29" s="4" t="n">
        <v>287.11</v>
      </c>
      <c r="I29" s="5" t="inlineStr">
        <is>
          <t>8900018843 EUUTPEUY UT 044 201889602-B206Z</t>
        </is>
      </c>
      <c r="J29" s="3">
        <f>IF(C29="","",TODAY()-C29)</f>
        <v/>
      </c>
    </row>
    <row r="30">
      <c r="A30" s="5" t="inlineStr">
        <is>
          <t>XT0150</t>
        </is>
      </c>
      <c r="B30" s="3" t="inlineStr">
        <is>
          <t>63010012</t>
        </is>
      </c>
      <c r="C30" s="6" t="n">
        <v>43896</v>
      </c>
      <c r="D30" s="3" t="inlineStr">
        <is>
          <t>FZ</t>
        </is>
      </c>
      <c r="E30" s="3" t="inlineStr">
        <is>
          <t>LKR</t>
        </is>
      </c>
      <c r="F30" s="4" t="n">
        <v>73118.77</v>
      </c>
      <c r="G30" s="3" t="inlineStr">
        <is>
          <t>USD</t>
        </is>
      </c>
      <c r="H30" s="4" t="n">
        <v>392.67</v>
      </c>
      <c r="I30" s="5" t="inlineStr">
        <is>
          <t>8900018844 EUUTPEUY UT 045 201889602-B206X</t>
        </is>
      </c>
      <c r="J30" s="3">
        <f>IF(C30="","",TODAY()-C30)</f>
        <v/>
      </c>
    </row>
    <row r="31">
      <c r="A31" s="5" t="inlineStr">
        <is>
          <t>XT0150</t>
        </is>
      </c>
      <c r="B31" s="3" t="inlineStr">
        <is>
          <t>63010012</t>
        </is>
      </c>
      <c r="C31" s="6" t="n">
        <v>43896</v>
      </c>
      <c r="D31" s="3" t="inlineStr">
        <is>
          <t>FZ</t>
        </is>
      </c>
      <c r="E31" s="3" t="inlineStr">
        <is>
          <t>LKR</t>
        </is>
      </c>
      <c r="F31" s="4" t="n">
        <v>72227.08</v>
      </c>
      <c r="G31" s="3" t="inlineStr">
        <is>
          <t>USD</t>
        </is>
      </c>
      <c r="H31" s="4" t="n">
        <v>387.88</v>
      </c>
      <c r="I31" s="5" t="inlineStr">
        <is>
          <t>8900018846 EUUTPEUY UT 046 201889602-B206V</t>
        </is>
      </c>
      <c r="J31" s="3">
        <f>IF(C31="","",TODAY()-C31)</f>
        <v/>
      </c>
    </row>
    <row r="32">
      <c r="A32" s="5" t="inlineStr">
        <is>
          <t>XT0150</t>
        </is>
      </c>
      <c r="B32" s="3" t="inlineStr">
        <is>
          <t>63010012</t>
        </is>
      </c>
      <c r="C32" s="6" t="n">
        <v>43896</v>
      </c>
      <c r="D32" s="3" t="inlineStr">
        <is>
          <t>FZ</t>
        </is>
      </c>
      <c r="E32" s="3" t="inlineStr">
        <is>
          <t>LKR</t>
        </is>
      </c>
      <c r="F32" s="4" t="n">
        <v>63763.08</v>
      </c>
      <c r="G32" s="3" t="inlineStr">
        <is>
          <t>USD</t>
        </is>
      </c>
      <c r="H32" s="4" t="n">
        <v>342.43</v>
      </c>
      <c r="I32" s="5" t="inlineStr">
        <is>
          <t>8900018847 EUUTPEUY UT 047 201889602-B206B</t>
        </is>
      </c>
      <c r="J32" s="3">
        <f>IF(C32="","",TODAY()-C32)</f>
        <v/>
      </c>
    </row>
    <row r="33">
      <c r="A33" s="5" t="inlineStr">
        <is>
          <t>XT0150</t>
        </is>
      </c>
      <c r="B33" s="3" t="inlineStr">
        <is>
          <t>63010012</t>
        </is>
      </c>
      <c r="C33" s="6" t="n">
        <v>43896</v>
      </c>
      <c r="D33" s="3" t="inlineStr">
        <is>
          <t>FZ</t>
        </is>
      </c>
      <c r="E33" s="3" t="inlineStr">
        <is>
          <t>LKR</t>
        </is>
      </c>
      <c r="F33" s="4" t="n">
        <v>60061.85</v>
      </c>
      <c r="G33" s="3" t="inlineStr">
        <is>
          <t>USD</t>
        </is>
      </c>
      <c r="H33" s="4" t="n">
        <v>322.55</v>
      </c>
      <c r="I33" s="5" t="inlineStr">
        <is>
          <t>8900018848 EUUTPEUY UT 048 201889602-B206N</t>
        </is>
      </c>
      <c r="J33" s="3">
        <f>IF(C33="","",TODAY()-C33)</f>
        <v/>
      </c>
    </row>
    <row r="34">
      <c r="A34" s="5" t="inlineStr">
        <is>
          <t>XT0150</t>
        </is>
      </c>
      <c r="B34" s="3" t="inlineStr">
        <is>
          <t>63010012</t>
        </is>
      </c>
      <c r="C34" s="6" t="n">
        <v>43896</v>
      </c>
      <c r="D34" s="3" t="inlineStr">
        <is>
          <t>FZ</t>
        </is>
      </c>
      <c r="E34" s="3" t="inlineStr">
        <is>
          <t>LKR</t>
        </is>
      </c>
      <c r="F34" s="4" t="n">
        <v>77428.62</v>
      </c>
      <c r="G34" s="3" t="inlineStr">
        <is>
          <t>USD</t>
        </is>
      </c>
      <c r="H34" s="4" t="n">
        <v>415.81</v>
      </c>
      <c r="I34" s="5" t="inlineStr">
        <is>
          <t>8900018849 EUUTPEUY UT 049 201889602-B206M</t>
        </is>
      </c>
      <c r="J34" s="3">
        <f>IF(C34="","",TODAY()-C34)</f>
        <v/>
      </c>
    </row>
    <row r="35">
      <c r="A35" s="5" t="inlineStr">
        <is>
          <t>XT0150</t>
        </is>
      </c>
      <c r="B35" s="3" t="inlineStr">
        <is>
          <t>63010012</t>
        </is>
      </c>
      <c r="C35" s="6" t="n">
        <v>43896</v>
      </c>
      <c r="D35" s="3" t="inlineStr">
        <is>
          <t>FZ</t>
        </is>
      </c>
      <c r="E35" s="3" t="inlineStr">
        <is>
          <t>LKR</t>
        </is>
      </c>
      <c r="F35" s="4" t="n">
        <v>73118.77</v>
      </c>
      <c r="G35" s="3" t="inlineStr">
        <is>
          <t>USD</t>
        </is>
      </c>
      <c r="H35" s="4" t="n">
        <v>392.67</v>
      </c>
      <c r="I35" s="5" t="inlineStr">
        <is>
          <t>8900018850 EUUTPEUY UT 050 201889602-B206P</t>
        </is>
      </c>
      <c r="J35" s="3">
        <f>IF(C35="","",TODAY()-C35)</f>
        <v/>
      </c>
    </row>
    <row r="36">
      <c r="A36" s="5" t="inlineStr">
        <is>
          <t>XT0150</t>
        </is>
      </c>
      <c r="B36" s="3" t="inlineStr">
        <is>
          <t>63010012</t>
        </is>
      </c>
      <c r="C36" s="6" t="n">
        <v>43896</v>
      </c>
      <c r="D36" s="3" t="inlineStr">
        <is>
          <t>FZ</t>
        </is>
      </c>
      <c r="E36" s="3" t="inlineStr">
        <is>
          <t>LKR</t>
        </is>
      </c>
      <c r="F36" s="4" t="n">
        <v>62673.23</v>
      </c>
      <c r="G36" s="3" t="inlineStr">
        <is>
          <t>USD</t>
        </is>
      </c>
      <c r="H36" s="4" t="n">
        <v>336.57</v>
      </c>
      <c r="I36" s="5" t="inlineStr">
        <is>
          <t>8900018851 EUUTPEUY UT 051 201889602-B206</t>
        </is>
      </c>
      <c r="J36" s="3">
        <f>IF(C36="","",TODAY()-C36)</f>
        <v/>
      </c>
    </row>
    <row r="37">
      <c r="A37" s="5" t="inlineStr">
        <is>
          <t>XT0150</t>
        </is>
      </c>
      <c r="B37" s="3" t="inlineStr">
        <is>
          <t>63010012</t>
        </is>
      </c>
      <c r="C37" s="6" t="n">
        <v>43896</v>
      </c>
      <c r="D37" s="3" t="inlineStr">
        <is>
          <t>FZ</t>
        </is>
      </c>
      <c r="E37" s="3" t="inlineStr">
        <is>
          <t>LKR</t>
        </is>
      </c>
      <c r="F37" s="4" t="n">
        <v>61229.54</v>
      </c>
      <c r="G37" s="3" t="inlineStr">
        <is>
          <t>USD</t>
        </is>
      </c>
      <c r="H37" s="4" t="n">
        <v>328.82</v>
      </c>
      <c r="I37" s="5" t="inlineStr">
        <is>
          <t>8900018852 EUUTPEUY UT 052 201889602-B206</t>
        </is>
      </c>
      <c r="J37" s="3">
        <f>IF(C37="","",TODAY()-C37)</f>
        <v/>
      </c>
    </row>
    <row r="38">
      <c r="A38" s="5" t="inlineStr">
        <is>
          <t>XT0150</t>
        </is>
      </c>
      <c r="B38" s="3" t="inlineStr">
        <is>
          <t>63010012</t>
        </is>
      </c>
      <c r="C38" s="6" t="n">
        <v>43896</v>
      </c>
      <c r="D38" s="3" t="inlineStr">
        <is>
          <t>FZ</t>
        </is>
      </c>
      <c r="E38" s="3" t="inlineStr">
        <is>
          <t>LKR</t>
        </is>
      </c>
      <c r="F38" s="4" t="n">
        <v>72227.08</v>
      </c>
      <c r="G38" s="3" t="inlineStr">
        <is>
          <t>USD</t>
        </is>
      </c>
      <c r="H38" s="4" t="n">
        <v>387.88</v>
      </c>
      <c r="I38" s="5" t="inlineStr">
        <is>
          <t>8900018853 EUUTPEUY UT 053 201889602-B206U</t>
        </is>
      </c>
      <c r="J38" s="3">
        <f>IF(C38="","",TODAY()-C38)</f>
        <v/>
      </c>
    </row>
    <row r="39">
      <c r="A39" s="5" t="inlineStr">
        <is>
          <t>XT0150</t>
        </is>
      </c>
      <c r="B39" s="3" t="inlineStr">
        <is>
          <t>63010012</t>
        </is>
      </c>
      <c r="C39" s="6" t="n">
        <v>43896</v>
      </c>
      <c r="D39" s="3" t="inlineStr">
        <is>
          <t>FZ</t>
        </is>
      </c>
      <c r="E39" s="3" t="inlineStr">
        <is>
          <t>LKR</t>
        </is>
      </c>
      <c r="F39" s="4" t="n">
        <v>89592.08</v>
      </c>
      <c r="G39" s="3" t="inlineStr">
        <is>
          <t>USD</t>
        </is>
      </c>
      <c r="H39" s="4" t="n">
        <v>481.13</v>
      </c>
      <c r="I39" s="5" t="inlineStr">
        <is>
          <t>8900018854 EUUTPEUY UT 054 201889602-B206Y</t>
        </is>
      </c>
      <c r="J39" s="3">
        <f>IF(C39="","",TODAY()-C39)</f>
        <v/>
      </c>
    </row>
    <row r="40">
      <c r="A40" s="5" t="inlineStr">
        <is>
          <t>XT0150</t>
        </is>
      </c>
      <c r="B40" s="3" t="inlineStr">
        <is>
          <t>63010012</t>
        </is>
      </c>
      <c r="C40" s="6" t="n">
        <v>43896</v>
      </c>
      <c r="D40" s="3" t="inlineStr">
        <is>
          <t>FZ</t>
        </is>
      </c>
      <c r="E40" s="3" t="inlineStr">
        <is>
          <t>LKR</t>
        </is>
      </c>
      <c r="F40" s="4" t="n">
        <v>78766.14999999999</v>
      </c>
      <c r="G40" s="3" t="inlineStr">
        <is>
          <t>USD</t>
        </is>
      </c>
      <c r="H40" s="4" t="n">
        <v>423</v>
      </c>
      <c r="I40" s="5" t="inlineStr">
        <is>
          <t>8900018855 EUUTPEUY UT 055 201889602-B206T</t>
        </is>
      </c>
      <c r="J40" s="3">
        <f>IF(C40="","",TODAY()-C40)</f>
        <v/>
      </c>
    </row>
    <row r="41">
      <c r="A41" s="5" t="inlineStr">
        <is>
          <t>XT0150</t>
        </is>
      </c>
      <c r="B41" s="3" t="inlineStr">
        <is>
          <t>63010012</t>
        </is>
      </c>
      <c r="C41" s="6" t="n">
        <v>43896</v>
      </c>
      <c r="D41" s="3" t="inlineStr">
        <is>
          <t>FZ</t>
        </is>
      </c>
      <c r="E41" s="3" t="inlineStr">
        <is>
          <t>LKR</t>
        </is>
      </c>
      <c r="F41" s="4" t="n">
        <v>95729.53999999999</v>
      </c>
      <c r="G41" s="3" t="inlineStr">
        <is>
          <t>USD</t>
        </is>
      </c>
      <c r="H41" s="4" t="n">
        <v>514.09</v>
      </c>
      <c r="I41" s="5" t="inlineStr">
        <is>
          <t>8900018856 EUUTPEUY UT 056 201889602-B206R</t>
        </is>
      </c>
      <c r="J41" s="3">
        <f>IF(C41="","",TODAY()-C41)</f>
        <v/>
      </c>
    </row>
    <row r="42">
      <c r="A42" s="5" t="inlineStr">
        <is>
          <t>XT0150</t>
        </is>
      </c>
      <c r="B42" s="3" t="inlineStr">
        <is>
          <t>63010012</t>
        </is>
      </c>
      <c r="C42" s="6" t="n">
        <v>43896</v>
      </c>
      <c r="D42" s="3" t="inlineStr">
        <is>
          <t>FZ</t>
        </is>
      </c>
      <c r="E42" s="3" t="inlineStr">
        <is>
          <t>LKR</t>
        </is>
      </c>
      <c r="F42" s="4" t="n">
        <v>72227.08</v>
      </c>
      <c r="G42" s="3" t="inlineStr">
        <is>
          <t>USD</t>
        </is>
      </c>
      <c r="H42" s="4" t="n">
        <v>387.88</v>
      </c>
      <c r="I42" s="5" t="inlineStr">
        <is>
          <t>8900018857 EUUTPEUY UT 057 201889602-B206E</t>
        </is>
      </c>
      <c r="J42" s="3">
        <f>IF(C42="","",TODAY()-C42)</f>
        <v/>
      </c>
    </row>
    <row r="43">
      <c r="A43" s="5" t="inlineStr">
        <is>
          <t>XT0150</t>
        </is>
      </c>
      <c r="B43" s="3" t="inlineStr">
        <is>
          <t>63010012</t>
        </is>
      </c>
      <c r="C43" s="6" t="n">
        <v>43896</v>
      </c>
      <c r="D43" s="3" t="inlineStr">
        <is>
          <t>FZ</t>
        </is>
      </c>
      <c r="E43" s="3" t="inlineStr">
        <is>
          <t>LKR</t>
        </is>
      </c>
      <c r="F43" s="4" t="n">
        <v>91844.31</v>
      </c>
      <c r="G43" s="3" t="inlineStr">
        <is>
          <t>USD</t>
        </is>
      </c>
      <c r="H43" s="4" t="n">
        <v>493.23</v>
      </c>
      <c r="I43" s="5" t="inlineStr">
        <is>
          <t>8900018858 EUUTPEUY UT 058 201889602-B206W</t>
        </is>
      </c>
      <c r="J43" s="3">
        <f>IF(C43="","",TODAY()-C43)</f>
        <v/>
      </c>
    </row>
    <row r="44">
      <c r="A44" s="5" t="inlineStr">
        <is>
          <t>XT0150</t>
        </is>
      </c>
      <c r="B44" s="3" t="inlineStr">
        <is>
          <t>63010012</t>
        </is>
      </c>
      <c r="C44" s="6" t="n">
        <v>43896</v>
      </c>
      <c r="D44" s="3" t="inlineStr">
        <is>
          <t>FZ</t>
        </is>
      </c>
      <c r="E44" s="3" t="inlineStr">
        <is>
          <t>LKR</t>
        </is>
      </c>
      <c r="F44" s="4" t="n">
        <v>71632.62</v>
      </c>
      <c r="G44" s="3" t="inlineStr">
        <is>
          <t>USD</t>
        </is>
      </c>
      <c r="H44" s="4" t="n">
        <v>384.69</v>
      </c>
      <c r="I44" s="5" t="inlineStr">
        <is>
          <t>8900018859 EUUTPEUY UT 059 201889602-B206Q</t>
        </is>
      </c>
      <c r="J44" s="3">
        <f>IF(C44="","",TODAY()-C44)</f>
        <v/>
      </c>
    </row>
    <row r="45">
      <c r="A45" s="5" t="inlineStr">
        <is>
          <t>XT0150</t>
        </is>
      </c>
      <c r="B45" s="3" t="inlineStr">
        <is>
          <t>63010012</t>
        </is>
      </c>
      <c r="C45" s="6" t="n">
        <v>43896</v>
      </c>
      <c r="D45" s="3" t="inlineStr">
        <is>
          <t>FZ</t>
        </is>
      </c>
      <c r="E45" s="3" t="inlineStr">
        <is>
          <t>LKR</t>
        </is>
      </c>
      <c r="F45" s="4" t="n">
        <v>73741.53999999999</v>
      </c>
      <c r="G45" s="3" t="inlineStr">
        <is>
          <t>USD</t>
        </is>
      </c>
      <c r="H45" s="4" t="n">
        <v>396.01</v>
      </c>
      <c r="I45" s="5" t="inlineStr">
        <is>
          <t>8900018860 EUUTPEUY UT 060 201889602-B26Q</t>
        </is>
      </c>
      <c r="J45" s="3">
        <f>IF(C45="","",TODAY()-C45)</f>
        <v/>
      </c>
    </row>
    <row r="46">
      <c r="A46" s="5" t="inlineStr">
        <is>
          <t>XT0150</t>
        </is>
      </c>
      <c r="B46" s="3" t="inlineStr">
        <is>
          <t>63010012</t>
        </is>
      </c>
      <c r="C46" s="6" t="n">
        <v>43896</v>
      </c>
      <c r="D46" s="3" t="inlineStr">
        <is>
          <t>FZ</t>
        </is>
      </c>
      <c r="E46" s="3" t="inlineStr">
        <is>
          <t>LKR</t>
        </is>
      </c>
      <c r="F46" s="4" t="n">
        <v>605747</v>
      </c>
      <c r="G46" s="3" t="inlineStr">
        <is>
          <t>USD</t>
        </is>
      </c>
      <c r="H46" s="4" t="n">
        <v>3176.27</v>
      </c>
      <c r="I46" s="5" t="inlineStr">
        <is>
          <t>2600000616 2600000616 DHL KEELLS DLL LTD-LKR</t>
        </is>
      </c>
      <c r="J46" s="3">
        <f>IF(C46="","",TODAY()-C46)</f>
        <v/>
      </c>
    </row>
    <row r="47">
      <c r="A47" s="5" t="inlineStr">
        <is>
          <t>XT0150</t>
        </is>
      </c>
      <c r="B47" s="3" t="inlineStr">
        <is>
          <t>63010012</t>
        </is>
      </c>
      <c r="C47" s="6" t="n">
        <v>43896</v>
      </c>
      <c r="D47" s="3" t="inlineStr">
        <is>
          <t>FZ</t>
        </is>
      </c>
      <c r="E47" s="3" t="inlineStr">
        <is>
          <t>LKR</t>
        </is>
      </c>
      <c r="F47" s="4" t="n">
        <v>433627.2</v>
      </c>
      <c r="G47" s="3" t="inlineStr">
        <is>
          <t>USD</t>
        </is>
      </c>
      <c r="H47" s="4" t="n">
        <v>2328.7</v>
      </c>
      <c r="I47" s="5" t="inlineStr">
        <is>
          <t>2600000617 2600000617 SERVCE PEUYMENTS MLLENNUM</t>
        </is>
      </c>
      <c r="J47" s="3">
        <f>IF(C47="","",TODAY()-C47)</f>
        <v/>
      </c>
    </row>
    <row r="48">
      <c r="A48" s="5" t="inlineStr">
        <is>
          <t>XT0150</t>
        </is>
      </c>
      <c r="B48" s="3" t="inlineStr">
        <is>
          <t>63010012</t>
        </is>
      </c>
      <c r="C48" s="6" t="n">
        <v>43896</v>
      </c>
      <c r="D48" s="3" t="inlineStr">
        <is>
          <t>FZ</t>
        </is>
      </c>
      <c r="E48" s="3" t="inlineStr">
        <is>
          <t>LKR</t>
        </is>
      </c>
      <c r="F48" s="4" t="n">
        <v>387748.22</v>
      </c>
      <c r="G48" s="3" t="inlineStr">
        <is>
          <t>USD</t>
        </is>
      </c>
      <c r="H48" s="4" t="n">
        <v>2082.32</v>
      </c>
      <c r="I48" s="5" t="inlineStr">
        <is>
          <t>2600000618 2600000618 CMMUNCEUTN EXPENCES DEUL</t>
        </is>
      </c>
      <c r="J48" s="3">
        <f>IF(C48="","",TODAY()-C48)</f>
        <v/>
      </c>
    </row>
    <row r="49">
      <c r="A49" s="5" t="inlineStr">
        <is>
          <t>UN0100</t>
        </is>
      </c>
      <c r="B49" s="3" t="inlineStr">
        <is>
          <t>63010012</t>
        </is>
      </c>
      <c r="C49" s="6" t="n">
        <v>43927</v>
      </c>
      <c r="D49" s="3" t="inlineStr">
        <is>
          <t>FZ</t>
        </is>
      </c>
      <c r="E49" s="3" t="inlineStr">
        <is>
          <t>LKR</t>
        </is>
      </c>
      <c r="F49" s="4" t="n">
        <v>170975</v>
      </c>
      <c r="G49" s="3" t="inlineStr">
        <is>
          <t>USD</t>
        </is>
      </c>
      <c r="H49" s="4" t="n">
        <v>896.52</v>
      </c>
      <c r="I49" s="5" t="inlineStr">
        <is>
          <t>000341 CLEEURNG CHEQUES</t>
        </is>
      </c>
      <c r="J49" s="3">
        <f>IF(C49="","",TODAY()-C49)</f>
        <v/>
      </c>
    </row>
    <row r="50">
      <c r="A50" s="5" t="inlineStr">
        <is>
          <t>UN0150</t>
        </is>
      </c>
      <c r="B50" s="3" t="inlineStr">
        <is>
          <t>63010012</t>
        </is>
      </c>
      <c r="C50" s="6" t="n">
        <v>43927</v>
      </c>
      <c r="D50" s="3" t="inlineStr">
        <is>
          <t>FZ</t>
        </is>
      </c>
      <c r="E50" s="3" t="inlineStr">
        <is>
          <t>LKR</t>
        </is>
      </c>
      <c r="F50" s="4" t="n">
        <v>76486.39</v>
      </c>
      <c r="G50" s="3" t="inlineStr">
        <is>
          <t>USD</t>
        </is>
      </c>
      <c r="H50" s="4" t="n">
        <v>421.76</v>
      </c>
      <c r="I50" s="5" t="inlineStr">
        <is>
          <t>210173 CLEEURNG CHEQUES</t>
        </is>
      </c>
      <c r="J50" s="3">
        <f>IF(C50="","",TODAY()-C50)</f>
        <v/>
      </c>
    </row>
    <row r="51">
      <c r="A51" s="5" t="inlineStr">
        <is>
          <t>UN0150</t>
        </is>
      </c>
      <c r="B51" s="3" t="inlineStr">
        <is>
          <t>63010012</t>
        </is>
      </c>
      <c r="C51" s="6" t="n">
        <v>43927</v>
      </c>
      <c r="D51" s="3" t="inlineStr">
        <is>
          <t>FZ</t>
        </is>
      </c>
      <c r="E51" s="3" t="inlineStr">
        <is>
          <t>LKR</t>
        </is>
      </c>
      <c r="F51" s="4" t="n">
        <v>110907</v>
      </c>
      <c r="G51" s="3" t="inlineStr">
        <is>
          <t>USD</t>
        </is>
      </c>
      <c r="H51" s="4" t="n">
        <v>581.55</v>
      </c>
      <c r="I51" s="5" t="inlineStr">
        <is>
          <t>210386 CLEEURNG CHEQUES</t>
        </is>
      </c>
      <c r="J51" s="3">
        <f>IF(C51="","",TODAY()-C51)</f>
        <v/>
      </c>
    </row>
    <row r="52">
      <c r="A52" s="5" t="inlineStr">
        <is>
          <t>UN0150</t>
        </is>
      </c>
      <c r="B52" s="3" t="inlineStr">
        <is>
          <t>63010012</t>
        </is>
      </c>
      <c r="C52" s="6" t="n">
        <v>43927</v>
      </c>
      <c r="D52" s="3" t="inlineStr">
        <is>
          <t>FZ</t>
        </is>
      </c>
      <c r="E52" s="3" t="inlineStr">
        <is>
          <t>LKR</t>
        </is>
      </c>
      <c r="F52" s="4" t="n">
        <v>71335.38</v>
      </c>
      <c r="G52" s="3" t="inlineStr">
        <is>
          <t>USD</t>
        </is>
      </c>
      <c r="H52" s="4" t="n">
        <v>374.05</v>
      </c>
      <c r="I52" s="5" t="inlineStr">
        <is>
          <t>210388 CLEEURNG CHEQUES</t>
        </is>
      </c>
      <c r="J52" s="3">
        <f>IF(C52="","",TODAY()-C52)</f>
        <v/>
      </c>
    </row>
    <row r="53">
      <c r="A53" s="5" t="inlineStr">
        <is>
          <t>XT0150</t>
        </is>
      </c>
      <c r="B53" s="3" t="inlineStr">
        <is>
          <t>63010012</t>
        </is>
      </c>
      <c r="C53" s="6" t="n">
        <v>43927</v>
      </c>
      <c r="D53" s="3" t="inlineStr">
        <is>
          <t>FZ</t>
        </is>
      </c>
      <c r="E53" s="3" t="inlineStr">
        <is>
          <t>LKR</t>
        </is>
      </c>
      <c r="F53" s="4" t="n">
        <v>250000</v>
      </c>
      <c r="G53" s="3" t="inlineStr">
        <is>
          <t>USD</t>
        </is>
      </c>
      <c r="H53" s="4" t="n">
        <v>1342.57</v>
      </c>
      <c r="I53" s="5" t="n">
        <v/>
      </c>
      <c r="J53" s="3">
        <f>IF(C53="","",TODAY()-C53)</f>
        <v/>
      </c>
    </row>
    <row r="54">
      <c r="A54" s="5" t="inlineStr">
        <is>
          <t>XT0150</t>
        </is>
      </c>
      <c r="B54" s="3" t="inlineStr">
        <is>
          <t>63010012</t>
        </is>
      </c>
      <c r="C54" s="6" t="n">
        <v>43836</v>
      </c>
      <c r="D54" s="3" t="inlineStr">
        <is>
          <t>FZ</t>
        </is>
      </c>
      <c r="E54" s="3" t="inlineStr">
        <is>
          <t>LKR</t>
        </is>
      </c>
      <c r="F54" s="4" t="n">
        <v>23468002.01</v>
      </c>
      <c r="G54" s="3" t="inlineStr">
        <is>
          <t>USD</t>
        </is>
      </c>
      <c r="H54" s="4" t="n">
        <v>126029.76</v>
      </c>
      <c r="I54" s="5" t="n">
        <v/>
      </c>
      <c r="J54" s="3">
        <f>IF(C54="","",TODAY()-C54)</f>
        <v/>
      </c>
    </row>
    <row r="55">
      <c r="A55" s="5" t="inlineStr">
        <is>
          <t>XT0150</t>
        </is>
      </c>
      <c r="B55" s="3" t="inlineStr">
        <is>
          <t>63010012</t>
        </is>
      </c>
      <c r="C55" s="6" t="n">
        <v>43867</v>
      </c>
      <c r="D55" s="3" t="inlineStr">
        <is>
          <t>FZ</t>
        </is>
      </c>
      <c r="E55" s="3" t="inlineStr">
        <is>
          <t>LKR</t>
        </is>
      </c>
      <c r="F55" s="4" t="n">
        <v>23468002.01</v>
      </c>
      <c r="G55" s="3" t="inlineStr">
        <is>
          <t>USD</t>
        </is>
      </c>
      <c r="H55" s="4" t="n">
        <v>126029.76</v>
      </c>
      <c r="I55" s="5" t="n">
        <v/>
      </c>
      <c r="J55" s="3">
        <f>IF(C55="","",TODAY()-C55)</f>
        <v/>
      </c>
    </row>
    <row r="56">
      <c r="A56" s="5" t="inlineStr">
        <is>
          <t>XT0150</t>
        </is>
      </c>
      <c r="B56" s="3" t="inlineStr">
        <is>
          <t>63010012</t>
        </is>
      </c>
      <c r="C56" s="6" t="n">
        <v>43896</v>
      </c>
      <c r="D56" s="3" t="inlineStr">
        <is>
          <t>FZ</t>
        </is>
      </c>
      <c r="E56" s="3" t="inlineStr">
        <is>
          <t>LKR</t>
        </is>
      </c>
      <c r="F56" s="4" t="n">
        <v>18950594.19</v>
      </c>
      <c r="G56" s="3" t="inlineStr">
        <is>
          <t>USD</t>
        </is>
      </c>
      <c r="H56" s="4" t="n">
        <v>101770.01</v>
      </c>
      <c r="I56" s="5" t="n">
        <v/>
      </c>
      <c r="J56" s="3">
        <f>IF(C56="","",TODAY()-C56)</f>
        <v/>
      </c>
    </row>
    <row r="57">
      <c r="A57" s="5" t="inlineStr">
        <is>
          <t>XT0150</t>
        </is>
      </c>
      <c r="B57" s="3" t="inlineStr">
        <is>
          <t>63010012</t>
        </is>
      </c>
      <c r="C57" s="6" t="n">
        <v>43927</v>
      </c>
      <c r="D57" s="3" t="inlineStr">
        <is>
          <t>FZ</t>
        </is>
      </c>
      <c r="E57" s="3" t="inlineStr">
        <is>
          <t>LKR</t>
        </is>
      </c>
      <c r="F57" s="4" t="n">
        <v>217260594.19</v>
      </c>
      <c r="G57" s="3" t="inlineStr">
        <is>
          <t>USD</t>
        </is>
      </c>
      <c r="H57" s="4" t="n">
        <v>1166750.41</v>
      </c>
      <c r="I57" s="5" t="n">
        <v/>
      </c>
      <c r="J57" s="3">
        <f>IF(C57="","",TODAY()-C57)</f>
        <v/>
      </c>
    </row>
    <row r="58">
      <c r="A58" s="5" t="inlineStr">
        <is>
          <t>UN0150</t>
        </is>
      </c>
      <c r="B58" s="3" t="inlineStr">
        <is>
          <t>63010012</t>
        </is>
      </c>
      <c r="C58" s="6" t="n">
        <v>43836</v>
      </c>
      <c r="D58" s="3" t="inlineStr">
        <is>
          <t>FZ</t>
        </is>
      </c>
      <c r="E58" s="3" t="inlineStr">
        <is>
          <t>LKR</t>
        </is>
      </c>
      <c r="F58" s="4" t="n">
        <v>28253768.6</v>
      </c>
      <c r="G58" s="3" t="inlineStr">
        <is>
          <t>USD</t>
        </is>
      </c>
      <c r="H58" s="4" t="n">
        <v>151730.67</v>
      </c>
      <c r="I58" s="5" t="inlineStr">
        <is>
          <t>NNREF EUBCNSFER T 001-270206-040 001-270206-040</t>
        </is>
      </c>
      <c r="J58" s="3">
        <f>IF(C58="","",TODAY()-C58)</f>
        <v/>
      </c>
    </row>
    <row r="59">
      <c r="A59" s="5" t="inlineStr">
        <is>
          <t>UN0150</t>
        </is>
      </c>
      <c r="B59" s="3" t="inlineStr">
        <is>
          <t>63010012</t>
        </is>
      </c>
      <c r="C59" s="6" t="n">
        <v>43867</v>
      </c>
      <c r="D59" s="3" t="inlineStr">
        <is>
          <t>FZ</t>
        </is>
      </c>
      <c r="E59" s="3" t="inlineStr">
        <is>
          <t>LKR</t>
        </is>
      </c>
      <c r="F59" s="4" t="n">
        <v>27391837.56</v>
      </c>
      <c r="G59" s="3" t="inlineStr">
        <is>
          <t>USD</t>
        </is>
      </c>
      <c r="H59" s="4" t="n">
        <v>147101.86</v>
      </c>
      <c r="I59" s="5" t="inlineStr">
        <is>
          <t>NNREF EUBCNSFER T 001-270206-040 001-270206-040</t>
        </is>
      </c>
      <c r="J59" s="3">
        <f>IF(C59="","",TODAY()-C59)</f>
        <v/>
      </c>
    </row>
    <row r="60">
      <c r="A60" s="5" t="inlineStr">
        <is>
          <t>UN0150</t>
        </is>
      </c>
      <c r="B60" s="3" t="inlineStr">
        <is>
          <t>63010012</t>
        </is>
      </c>
      <c r="C60" s="6" t="n">
        <v>43896</v>
      </c>
      <c r="D60" s="3" t="inlineStr">
        <is>
          <t>FZ</t>
        </is>
      </c>
      <c r="E60" s="3" t="inlineStr">
        <is>
          <t>LKR</t>
        </is>
      </c>
      <c r="F60" s="4" t="n">
        <v>25225607.81</v>
      </c>
      <c r="G60" s="3" t="inlineStr">
        <is>
          <t>USD</t>
        </is>
      </c>
      <c r="H60" s="4" t="n">
        <v>135468.6</v>
      </c>
      <c r="I60" s="5" t="inlineStr">
        <is>
          <t>NNREF EUBCNSFER T 001-270206-040 001-270206-040</t>
        </is>
      </c>
      <c r="J60" s="3">
        <f>IF(C60="","",TODAY()-C60)</f>
        <v/>
      </c>
    </row>
    <row r="61">
      <c r="A61" s="5" t="inlineStr">
        <is>
          <t>UN0150</t>
        </is>
      </c>
      <c r="B61" s="3" t="inlineStr">
        <is>
          <t>63010012</t>
        </is>
      </c>
      <c r="C61" s="6" t="n">
        <v>43927</v>
      </c>
      <c r="D61" s="3" t="inlineStr">
        <is>
          <t>FZ</t>
        </is>
      </c>
      <c r="E61" s="3" t="inlineStr">
        <is>
          <t>LKR</t>
        </is>
      </c>
      <c r="F61" s="4" t="n">
        <v>26060577.79</v>
      </c>
      <c r="G61" s="3" t="inlineStr">
        <is>
          <t>USD</t>
        </is>
      </c>
      <c r="H61" s="4" t="n">
        <v>139952.62</v>
      </c>
      <c r="I61" s="5" t="inlineStr">
        <is>
          <t>NNREF EUBCNSFER T 001-270206-040 001-270206-040</t>
        </is>
      </c>
      <c r="J61" s="3">
        <f>IF(C61="","",TODAY()-C61)</f>
        <v/>
      </c>
    </row>
    <row r="62">
      <c r="A62" s="5" t="inlineStr">
        <is>
          <t>XT0150</t>
        </is>
      </c>
      <c r="B62" s="3" t="inlineStr">
        <is>
          <t>63010012</t>
        </is>
      </c>
      <c r="C62" s="6" t="n">
        <v>43836</v>
      </c>
      <c r="D62" s="3" t="inlineStr">
        <is>
          <t>FZ</t>
        </is>
      </c>
      <c r="E62" s="3" t="inlineStr">
        <is>
          <t>LKR</t>
        </is>
      </c>
      <c r="F62" s="4" t="n">
        <v>102850</v>
      </c>
      <c r="G62" s="3" t="inlineStr">
        <is>
          <t>USD</t>
        </is>
      </c>
      <c r="H62" s="4" t="n">
        <v>552.33</v>
      </c>
      <c r="I62" s="5" t="n">
        <v/>
      </c>
      <c r="J62" s="3">
        <f>IF(C62="","",TODAY()-C62)</f>
        <v/>
      </c>
    </row>
    <row r="63">
      <c r="A63" s="5" t="inlineStr">
        <is>
          <t>UN0100</t>
        </is>
      </c>
      <c r="B63" s="3" t="inlineStr">
        <is>
          <t>63010012</t>
        </is>
      </c>
      <c r="C63" s="6" t="n">
        <v>44049</v>
      </c>
      <c r="D63" s="3" t="inlineStr">
        <is>
          <t>FZ</t>
        </is>
      </c>
      <c r="E63" s="3" t="inlineStr">
        <is>
          <t>LKR</t>
        </is>
      </c>
      <c r="F63" s="4" t="n">
        <v>9550</v>
      </c>
      <c r="G63" s="3" t="inlineStr">
        <is>
          <t>USD</t>
        </is>
      </c>
      <c r="H63" s="4" t="n">
        <v>50.08</v>
      </c>
      <c r="I63" s="5" t="inlineStr">
        <is>
          <t>000340 CLEEURNG CHEQUES</t>
        </is>
      </c>
      <c r="J63" s="3">
        <f>IF(C63="","",TODAY()-C63)</f>
        <v/>
      </c>
    </row>
    <row r="64">
      <c r="A64" s="5" t="inlineStr">
        <is>
          <t>UN0150</t>
        </is>
      </c>
      <c r="B64" s="3" t="inlineStr">
        <is>
          <t>63010012</t>
        </is>
      </c>
      <c r="C64" s="6" t="n">
        <v>44049</v>
      </c>
      <c r="D64" s="3" t="inlineStr">
        <is>
          <t>FZ</t>
        </is>
      </c>
      <c r="E64" s="3" t="inlineStr">
        <is>
          <t>LKR</t>
        </is>
      </c>
      <c r="F64" s="4" t="n">
        <v>21000</v>
      </c>
      <c r="G64" s="3" t="inlineStr">
        <is>
          <t>USD</t>
        </is>
      </c>
      <c r="H64" s="4" t="n">
        <v>110.11</v>
      </c>
      <c r="I64" s="5" t="inlineStr">
        <is>
          <t>210374 CLEEURNG CHEQUES</t>
        </is>
      </c>
      <c r="J64" s="3">
        <f>IF(C64="","",TODAY()-C64)</f>
        <v/>
      </c>
    </row>
    <row r="65">
      <c r="A65" s="5" t="inlineStr">
        <is>
          <t>UN0100</t>
        </is>
      </c>
      <c r="B65" s="3" t="inlineStr">
        <is>
          <t>63010012</t>
        </is>
      </c>
      <c r="C65" s="6" t="n">
        <v>44049</v>
      </c>
      <c r="D65" s="3" t="inlineStr">
        <is>
          <t>FZ</t>
        </is>
      </c>
      <c r="E65" s="3" t="inlineStr">
        <is>
          <t>LKR</t>
        </is>
      </c>
      <c r="F65" s="4" t="n">
        <v>139137.6</v>
      </c>
      <c r="G65" s="3" t="inlineStr">
        <is>
          <t>USD</t>
        </is>
      </c>
      <c r="H65" s="4" t="n">
        <v>747.21</v>
      </c>
      <c r="I65" s="5" t="inlineStr">
        <is>
          <t>2600000262 2600000262 FREGHT PEUYMENTS EXPLEUNKEU F</t>
        </is>
      </c>
      <c r="J65" s="3">
        <f>IF(C65="","",TODAY()-C65)</f>
        <v/>
      </c>
    </row>
    <row r="66">
      <c r="A66" s="5" t="inlineStr">
        <is>
          <t>UN0100</t>
        </is>
      </c>
      <c r="B66" s="3" t="inlineStr">
        <is>
          <t>63010012</t>
        </is>
      </c>
      <c r="C66" s="6" t="n">
        <v>44049</v>
      </c>
      <c r="D66" s="3" t="inlineStr">
        <is>
          <t>FZ</t>
        </is>
      </c>
      <c r="E66" s="3" t="inlineStr">
        <is>
          <t>LKR</t>
        </is>
      </c>
      <c r="F66" s="4" t="n">
        <v>463750</v>
      </c>
      <c r="G66" s="3" t="inlineStr">
        <is>
          <t>USD</t>
        </is>
      </c>
      <c r="H66" s="4" t="n">
        <v>2490.47</v>
      </c>
      <c r="I66" s="5" t="inlineStr">
        <is>
          <t>2600000263 2600000263 NTERCMPEUNY PEUYMENTS  CEU</t>
        </is>
      </c>
      <c r="J66" s="3">
        <f>IF(C66="","",TODAY()-C66)</f>
        <v/>
      </c>
    </row>
    <row r="67">
      <c r="A67" s="5" t="inlineStr">
        <is>
          <t>UN0150</t>
        </is>
      </c>
      <c r="B67" s="3" t="inlineStr">
        <is>
          <t>63010012</t>
        </is>
      </c>
      <c r="C67" s="6" t="n">
        <v>44049</v>
      </c>
      <c r="D67" s="3" t="inlineStr">
        <is>
          <t>FZ</t>
        </is>
      </c>
      <c r="E67" s="3" t="inlineStr">
        <is>
          <t>LKR</t>
        </is>
      </c>
      <c r="F67" s="4" t="n">
        <v>294163.07</v>
      </c>
      <c r="G67" s="3" t="inlineStr">
        <is>
          <t>USD</t>
        </is>
      </c>
      <c r="H67" s="4" t="n">
        <v>1579.74</v>
      </c>
      <c r="I67" s="5" t="inlineStr">
        <is>
          <t>2600000557 2600000557 DEULG EUXEUTEU PLC</t>
        </is>
      </c>
      <c r="J67" s="3">
        <f>IF(C67="","",TODAY()-C67)</f>
        <v/>
      </c>
    </row>
    <row r="68">
      <c r="A68" s="5" t="inlineStr">
        <is>
          <t>UN0150</t>
        </is>
      </c>
      <c r="B68" s="3" t="inlineStr">
        <is>
          <t>63010012</t>
        </is>
      </c>
      <c r="C68" s="6" t="n">
        <v>44049</v>
      </c>
      <c r="D68" s="3" t="inlineStr">
        <is>
          <t>FZ</t>
        </is>
      </c>
      <c r="E68" s="3" t="inlineStr">
        <is>
          <t>LKR</t>
        </is>
      </c>
      <c r="F68" s="4" t="n">
        <v>905313.25</v>
      </c>
      <c r="G68" s="3" t="inlineStr">
        <is>
          <t>USD</t>
        </is>
      </c>
      <c r="H68" s="4" t="n">
        <v>4861.79</v>
      </c>
      <c r="I68" s="5" t="inlineStr">
        <is>
          <t>2600000558 2600000558 FREGHT PEUYMENTS EXPLEUNKEU F</t>
        </is>
      </c>
      <c r="J68" s="3">
        <f>IF(C68="","",TODAY()-C68)</f>
        <v/>
      </c>
    </row>
    <row r="69">
      <c r="A69" s="5" t="inlineStr">
        <is>
          <t>UN0150</t>
        </is>
      </c>
      <c r="B69" s="3" t="inlineStr">
        <is>
          <t>63010012</t>
        </is>
      </c>
      <c r="C69" s="6" t="n">
        <v>44080</v>
      </c>
      <c r="D69" s="3" t="inlineStr">
        <is>
          <t>FZ</t>
        </is>
      </c>
      <c r="E69" s="3" t="inlineStr">
        <is>
          <t>LKR</t>
        </is>
      </c>
      <c r="F69" s="4" t="n">
        <v>76486.39</v>
      </c>
      <c r="G69" s="3" t="inlineStr">
        <is>
          <t>USD</t>
        </is>
      </c>
      <c r="H69" s="4" t="n">
        <v>421.69</v>
      </c>
      <c r="I69" s="5" t="inlineStr">
        <is>
          <t>210899 CLEEURNG CHEQUES</t>
        </is>
      </c>
      <c r="J69" s="3">
        <f>IF(C69="","",TODAY()-C69)</f>
        <v/>
      </c>
    </row>
    <row r="70">
      <c r="A70" s="5" t="inlineStr">
        <is>
          <t>UN0150</t>
        </is>
      </c>
      <c r="B70" s="3" t="inlineStr">
        <is>
          <t>63010012</t>
        </is>
      </c>
      <c r="C70" s="6" t="n">
        <v>44080</v>
      </c>
      <c r="D70" s="3" t="inlineStr">
        <is>
          <t>FZ</t>
        </is>
      </c>
      <c r="E70" s="3" t="inlineStr">
        <is>
          <t>LKR</t>
        </is>
      </c>
      <c r="F70" s="4" t="n">
        <v>110907</v>
      </c>
      <c r="G70" s="3" t="inlineStr">
        <is>
          <t>USD</t>
        </is>
      </c>
      <c r="H70" s="4" t="n">
        <v>611.46</v>
      </c>
      <c r="I70" s="5" t="inlineStr">
        <is>
          <t>210259 CLEEURNG CHEQUES</t>
        </is>
      </c>
      <c r="J70" s="3">
        <f>IF(C70="","",TODAY()-C70)</f>
        <v/>
      </c>
    </row>
    <row r="71">
      <c r="A71" s="5" t="inlineStr">
        <is>
          <t>UN0150</t>
        </is>
      </c>
      <c r="B71" s="3" t="inlineStr">
        <is>
          <t>63010012</t>
        </is>
      </c>
      <c r="C71" s="6" t="n">
        <v>44080</v>
      </c>
      <c r="D71" s="3" t="inlineStr">
        <is>
          <t>FZ</t>
        </is>
      </c>
      <c r="E71" s="3" t="inlineStr">
        <is>
          <t>LKR</t>
        </is>
      </c>
      <c r="F71" s="4" t="n">
        <v>90655.38</v>
      </c>
      <c r="G71" s="3" t="inlineStr">
        <is>
          <t>USD</t>
        </is>
      </c>
      <c r="H71" s="4" t="n">
        <v>479.02</v>
      </c>
      <c r="I71" s="5" t="inlineStr">
        <is>
          <t>210325 CLEEURNG CHEQUES</t>
        </is>
      </c>
      <c r="J71" s="3">
        <f>IF(C71="","",TODAY()-C71)</f>
        <v/>
      </c>
    </row>
    <row r="72">
      <c r="A72" s="5" t="inlineStr">
        <is>
          <t>UN0150</t>
        </is>
      </c>
      <c r="B72" s="3" t="inlineStr">
        <is>
          <t>63010012</t>
        </is>
      </c>
      <c r="C72" s="6" t="n">
        <v>44080</v>
      </c>
      <c r="D72" s="3" t="inlineStr">
        <is>
          <t>FZ</t>
        </is>
      </c>
      <c r="E72" s="3" t="inlineStr">
        <is>
          <t>LKR</t>
        </is>
      </c>
      <c r="F72" s="4" t="n">
        <v>90655.38</v>
      </c>
      <c r="G72" s="3" t="inlineStr">
        <is>
          <t>USD</t>
        </is>
      </c>
      <c r="H72" s="4" t="n">
        <v>479.02</v>
      </c>
      <c r="I72" s="5" t="inlineStr">
        <is>
          <t>210326 CLEEURNG CHEQUES</t>
        </is>
      </c>
      <c r="J72" s="3">
        <f>IF(C72="","",TODAY()-C72)</f>
        <v/>
      </c>
    </row>
    <row r="73">
      <c r="A73" s="5" t="inlineStr">
        <is>
          <t>UN0150</t>
        </is>
      </c>
      <c r="B73" s="3" t="inlineStr">
        <is>
          <t>63010012</t>
        </is>
      </c>
      <c r="C73" s="6" t="n">
        <v>44080</v>
      </c>
      <c r="D73" s="3" t="inlineStr">
        <is>
          <t>FZ</t>
        </is>
      </c>
      <c r="E73" s="3" t="inlineStr">
        <is>
          <t>LKR</t>
        </is>
      </c>
      <c r="F73" s="4" t="n">
        <v>92574.5</v>
      </c>
      <c r="G73" s="3" t="inlineStr">
        <is>
          <t>USD</t>
        </is>
      </c>
      <c r="H73" s="4" t="n">
        <v>485.42</v>
      </c>
      <c r="I73" s="5" t="inlineStr">
        <is>
          <t>210385 CLEEURNG CHEQUES</t>
        </is>
      </c>
      <c r="J73" s="3">
        <f>IF(C73="","",TODAY()-C73)</f>
        <v/>
      </c>
    </row>
    <row r="74">
      <c r="A74" s="5" t="inlineStr">
        <is>
          <t>UN0150</t>
        </is>
      </c>
      <c r="B74" s="3" t="inlineStr">
        <is>
          <t>63010012</t>
        </is>
      </c>
      <c r="C74" s="6" t="n">
        <v>44080</v>
      </c>
      <c r="D74" s="3" t="inlineStr">
        <is>
          <t>FZ</t>
        </is>
      </c>
      <c r="E74" s="3" t="inlineStr">
        <is>
          <t>LKR</t>
        </is>
      </c>
      <c r="F74" s="4" t="n">
        <v>90000</v>
      </c>
      <c r="G74" s="3" t="inlineStr">
        <is>
          <t>USD</t>
        </is>
      </c>
      <c r="H74" s="4" t="n">
        <v>483.33</v>
      </c>
      <c r="I74" s="5" t="inlineStr">
        <is>
          <t>8900009896 EUUTPEUY UT 013 201889604-SEUD26</t>
        </is>
      </c>
      <c r="J74" s="3">
        <f>IF(C74="","",TODAY()-C74)</f>
        <v/>
      </c>
    </row>
    <row r="75">
      <c r="A75" s="5" t="inlineStr">
        <is>
          <t>UN0150</t>
        </is>
      </c>
      <c r="B75" s="3" t="inlineStr">
        <is>
          <t>63010012</t>
        </is>
      </c>
      <c r="C75" s="6" t="n">
        <v>44080</v>
      </c>
      <c r="D75" s="3" t="inlineStr">
        <is>
          <t>FZ</t>
        </is>
      </c>
      <c r="E75" s="3" t="inlineStr">
        <is>
          <t>LKR</t>
        </is>
      </c>
      <c r="F75" s="4" t="n">
        <v>2754670.67</v>
      </c>
      <c r="G75" s="3" t="inlineStr">
        <is>
          <t>USD</t>
        </is>
      </c>
      <c r="H75" s="4" t="n">
        <v>14793.36</v>
      </c>
      <c r="I75" s="5" t="inlineStr">
        <is>
          <t>8900009935 EUUTPEUY UT 014 201889608-SEUD89</t>
        </is>
      </c>
      <c r="J75" s="3">
        <f>IF(C75="","",TODAY()-C75)</f>
        <v/>
      </c>
    </row>
    <row r="76">
      <c r="A76" s="5" t="inlineStr">
        <is>
          <t>XT0150</t>
        </is>
      </c>
      <c r="B76" s="3" t="inlineStr">
        <is>
          <t>63010012</t>
        </is>
      </c>
      <c r="C76" s="6" t="n">
        <v>44080</v>
      </c>
      <c r="D76" s="3" t="inlineStr">
        <is>
          <t>FZ</t>
        </is>
      </c>
      <c r="E76" s="3" t="inlineStr">
        <is>
          <t>LKR</t>
        </is>
      </c>
      <c r="F76" s="4" t="n">
        <v>6875</v>
      </c>
      <c r="G76" s="3" t="inlineStr">
        <is>
          <t>USD</t>
        </is>
      </c>
      <c r="H76" s="4" t="n">
        <v>36.92</v>
      </c>
      <c r="I76" s="5" t="inlineStr">
        <is>
          <t>8900018900 EUUTPEUY UT 071 201889603-B306Z</t>
        </is>
      </c>
      <c r="J76" s="3">
        <f>IF(C76="","",TODAY()-C76)</f>
        <v/>
      </c>
    </row>
    <row r="77">
      <c r="A77" s="5" t="inlineStr">
        <is>
          <t>XT0150</t>
        </is>
      </c>
      <c r="B77" s="3" t="inlineStr">
        <is>
          <t>63010012</t>
        </is>
      </c>
      <c r="C77" s="6" t="n">
        <v>44080</v>
      </c>
      <c r="D77" s="3" t="inlineStr">
        <is>
          <t>FZ</t>
        </is>
      </c>
      <c r="E77" s="3" t="inlineStr">
        <is>
          <t>LKR</t>
        </is>
      </c>
      <c r="F77" s="4" t="n">
        <v>250225</v>
      </c>
      <c r="G77" s="3" t="inlineStr">
        <is>
          <t>USD</t>
        </is>
      </c>
      <c r="H77" s="4" t="n">
        <v>1343.78</v>
      </c>
      <c r="I77" s="5" t="inlineStr">
        <is>
          <t>8900018902 EUUTPEUY UT 072 201889604-B406K</t>
        </is>
      </c>
      <c r="J77" s="3">
        <f>IF(C77="","",TODAY()-C77)</f>
        <v/>
      </c>
    </row>
    <row r="78">
      <c r="A78" s="5" t="inlineStr">
        <is>
          <t>XT0150</t>
        </is>
      </c>
      <c r="B78" s="3" t="inlineStr">
        <is>
          <t>63010012</t>
        </is>
      </c>
      <c r="C78" s="6" t="n">
        <v>44080</v>
      </c>
      <c r="D78" s="3" t="inlineStr">
        <is>
          <t>FZ</t>
        </is>
      </c>
      <c r="E78" s="3" t="inlineStr">
        <is>
          <t>LKR</t>
        </is>
      </c>
      <c r="F78" s="4" t="n">
        <v>140475</v>
      </c>
      <c r="G78" s="3" t="inlineStr">
        <is>
          <t>USD</t>
        </is>
      </c>
      <c r="H78" s="4" t="n">
        <v>754.39</v>
      </c>
      <c r="I78" s="5" t="inlineStr">
        <is>
          <t>8900018903 EUUTPEUY UT 073 201889604-B406J</t>
        </is>
      </c>
      <c r="J78" s="3">
        <f>IF(C78="","",TODAY()-C78)</f>
        <v/>
      </c>
    </row>
    <row r="79">
      <c r="A79" s="5" t="inlineStr">
        <is>
          <t>XT0150</t>
        </is>
      </c>
      <c r="B79" s="3" t="inlineStr">
        <is>
          <t>63010012</t>
        </is>
      </c>
      <c r="C79" s="6" t="n">
        <v>44080</v>
      </c>
      <c r="D79" s="3" t="inlineStr">
        <is>
          <t>FZ</t>
        </is>
      </c>
      <c r="E79" s="3" t="inlineStr">
        <is>
          <t>LKR</t>
        </is>
      </c>
      <c r="F79" s="4" t="n">
        <v>300575</v>
      </c>
      <c r="G79" s="3" t="inlineStr">
        <is>
          <t>USD</t>
        </is>
      </c>
      <c r="H79" s="4" t="n">
        <v>1614.17</v>
      </c>
      <c r="I79" s="5" t="inlineStr">
        <is>
          <t>8900018906 EUUTPEUY UT 076 201889604-B406F</t>
        </is>
      </c>
      <c r="J79" s="3">
        <f>IF(C79="","",TODAY()-C79)</f>
        <v/>
      </c>
    </row>
    <row r="80">
      <c r="A80" s="5" t="inlineStr">
        <is>
          <t>XT0150</t>
        </is>
      </c>
      <c r="B80" s="3" t="inlineStr">
        <is>
          <t>63010012</t>
        </is>
      </c>
      <c r="C80" s="6" t="n">
        <v>44080</v>
      </c>
      <c r="D80" s="3" t="inlineStr">
        <is>
          <t>FZ</t>
        </is>
      </c>
      <c r="E80" s="3" t="inlineStr">
        <is>
          <t>LKR</t>
        </is>
      </c>
      <c r="F80" s="4" t="n">
        <v>91150</v>
      </c>
      <c r="G80" s="3" t="inlineStr">
        <is>
          <t>USD</t>
        </is>
      </c>
      <c r="H80" s="4" t="n">
        <v>489.5</v>
      </c>
      <c r="I80" s="5" t="inlineStr">
        <is>
          <t>8900018911 EUUTPEUY UT 077 201889604-B406X</t>
        </is>
      </c>
      <c r="J80" s="3">
        <f>IF(C80="","",TODAY()-C80)</f>
        <v/>
      </c>
    </row>
    <row r="81">
      <c r="A81" s="5" t="inlineStr">
        <is>
          <t>XT0150</t>
        </is>
      </c>
      <c r="B81" s="3" t="inlineStr">
        <is>
          <t>63010012</t>
        </is>
      </c>
      <c r="C81" s="6" t="n">
        <v>44080</v>
      </c>
      <c r="D81" s="3" t="inlineStr">
        <is>
          <t>FZ</t>
        </is>
      </c>
      <c r="E81" s="3" t="inlineStr">
        <is>
          <t>LKR</t>
        </is>
      </c>
      <c r="F81" s="4" t="n">
        <v>76625</v>
      </c>
      <c r="G81" s="3" t="inlineStr">
        <is>
          <t>USD</t>
        </is>
      </c>
      <c r="H81" s="4" t="n">
        <v>411.5</v>
      </c>
      <c r="I81" s="5" t="inlineStr">
        <is>
          <t>8900018912 EUUTPEUY UT 078 201889604-B406C</t>
        </is>
      </c>
      <c r="J81" s="3">
        <f>IF(C81="","",TODAY()-C81)</f>
        <v/>
      </c>
    </row>
    <row r="82">
      <c r="A82" s="5" t="inlineStr">
        <is>
          <t>UN0100</t>
        </is>
      </c>
      <c r="B82" s="3" t="inlineStr">
        <is>
          <t>63010012</t>
        </is>
      </c>
      <c r="C82" s="6" t="n">
        <v>44080</v>
      </c>
      <c r="D82" s="3" t="inlineStr">
        <is>
          <t>FZ</t>
        </is>
      </c>
      <c r="E82" s="3" t="inlineStr">
        <is>
          <t>LKR</t>
        </is>
      </c>
      <c r="F82" s="4" t="n">
        <v>1339085.93</v>
      </c>
      <c r="G82" s="3" t="inlineStr">
        <is>
          <t>USD</t>
        </is>
      </c>
      <c r="H82" s="4" t="n">
        <v>7191.27</v>
      </c>
      <c r="I82" s="5" t="inlineStr">
        <is>
          <t>2600000264 2600000264 FREGHT PEUYMENTS EXPLEUNKEU F</t>
        </is>
      </c>
      <c r="J82" s="3">
        <f>IF(C82="","",TODAY()-C82)</f>
        <v/>
      </c>
    </row>
    <row r="83">
      <c r="A83" s="5" t="inlineStr">
        <is>
          <t>UN0150</t>
        </is>
      </c>
      <c r="B83" s="3" t="inlineStr">
        <is>
          <t>63010012</t>
        </is>
      </c>
      <c r="C83" s="6" t="n">
        <v>44110</v>
      </c>
      <c r="D83" s="3" t="inlineStr">
        <is>
          <t>FZ</t>
        </is>
      </c>
      <c r="E83" s="3" t="inlineStr">
        <is>
          <t>LKR</t>
        </is>
      </c>
      <c r="F83" s="4" t="n">
        <v>20145</v>
      </c>
      <c r="G83" s="3" t="inlineStr">
        <is>
          <t>USD</t>
        </is>
      </c>
      <c r="H83" s="4" t="n">
        <v>111.07</v>
      </c>
      <c r="I83" s="5" t="inlineStr">
        <is>
          <t>210282 CLEEURNG CHEQUES</t>
        </is>
      </c>
      <c r="J83" s="3">
        <f>IF(C83="","",TODAY()-C83)</f>
        <v/>
      </c>
    </row>
    <row r="84">
      <c r="A84" s="5" t="inlineStr">
        <is>
          <t>UN0150</t>
        </is>
      </c>
      <c r="B84" s="3" t="inlineStr">
        <is>
          <t>63010012</t>
        </is>
      </c>
      <c r="C84" s="6" t="n">
        <v>44110</v>
      </c>
      <c r="D84" s="3" t="inlineStr">
        <is>
          <t>FZ</t>
        </is>
      </c>
      <c r="E84" s="3" t="inlineStr">
        <is>
          <t>LKR</t>
        </is>
      </c>
      <c r="F84" s="4" t="n">
        <v>68363.08</v>
      </c>
      <c r="G84" s="3" t="inlineStr">
        <is>
          <t>USD</t>
        </is>
      </c>
      <c r="H84" s="4" t="n">
        <v>358.47</v>
      </c>
      <c r="I84" s="5" t="inlineStr">
        <is>
          <t>210358 CLEEURNG CHEQUES</t>
        </is>
      </c>
      <c r="J84" s="3">
        <f>IF(C84="","",TODAY()-C84)</f>
        <v/>
      </c>
    </row>
    <row r="85">
      <c r="A85" s="5" t="inlineStr">
        <is>
          <t>XT0150</t>
        </is>
      </c>
      <c r="B85" s="3" t="inlineStr">
        <is>
          <t>63010012</t>
        </is>
      </c>
      <c r="C85" s="6" t="n">
        <v>44110</v>
      </c>
      <c r="D85" s="3" t="inlineStr">
        <is>
          <t>FZ</t>
        </is>
      </c>
      <c r="E85" s="3" t="inlineStr">
        <is>
          <t>LKR</t>
        </is>
      </c>
      <c r="F85" s="4" t="n">
        <v>859.85</v>
      </c>
      <c r="G85" s="3" t="inlineStr">
        <is>
          <t>USD</t>
        </is>
      </c>
      <c r="H85" s="4" t="n">
        <v>4.62</v>
      </c>
      <c r="I85" s="5" t="inlineStr">
        <is>
          <t>8900018913 EUUTPEUY UT 079 201889608-B806L</t>
        </is>
      </c>
      <c r="J85" s="3">
        <f>IF(C85="","",TODAY()-C85)</f>
        <v/>
      </c>
    </row>
    <row r="86">
      <c r="A86" s="5" t="inlineStr">
        <is>
          <t>XT0150</t>
        </is>
      </c>
      <c r="B86" s="3" t="inlineStr">
        <is>
          <t>63010012</t>
        </is>
      </c>
      <c r="C86" s="6" t="n">
        <v>44110</v>
      </c>
      <c r="D86" s="3" t="inlineStr">
        <is>
          <t>FZ</t>
        </is>
      </c>
      <c r="E86" s="3" t="inlineStr">
        <is>
          <t>LKR</t>
        </is>
      </c>
      <c r="F86" s="4" t="n">
        <v>73093.77</v>
      </c>
      <c r="G86" s="3" t="inlineStr">
        <is>
          <t>USD</t>
        </is>
      </c>
      <c r="H86" s="4" t="n">
        <v>392.53</v>
      </c>
      <c r="I86" s="5" t="inlineStr">
        <is>
          <t>8900018914 EUUTPEUY UT 080 201889608-B806K</t>
        </is>
      </c>
      <c r="J86" s="3">
        <f>IF(C86="","",TODAY()-C86)</f>
        <v/>
      </c>
    </row>
    <row r="87">
      <c r="A87" s="5" t="inlineStr">
        <is>
          <t>XT0150</t>
        </is>
      </c>
      <c r="B87" s="3" t="inlineStr">
        <is>
          <t>63010012</t>
        </is>
      </c>
      <c r="C87" s="6" t="n">
        <v>44110</v>
      </c>
      <c r="D87" s="3" t="inlineStr">
        <is>
          <t>FZ</t>
        </is>
      </c>
      <c r="E87" s="3" t="inlineStr">
        <is>
          <t>LKR</t>
        </is>
      </c>
      <c r="F87" s="4" t="n">
        <v>73093.8</v>
      </c>
      <c r="G87" s="3" t="inlineStr">
        <is>
          <t>USD</t>
        </is>
      </c>
      <c r="H87" s="4" t="n">
        <v>392.53</v>
      </c>
      <c r="I87" s="5" t="inlineStr">
        <is>
          <t>8900018915 EUUTPEUY UT 081 201889608-B806J</t>
        </is>
      </c>
      <c r="J87" s="3">
        <f>IF(C87="","",TODAY()-C87)</f>
        <v/>
      </c>
    </row>
    <row r="88">
      <c r="A88" s="5" t="inlineStr">
        <is>
          <t>XT0150</t>
        </is>
      </c>
      <c r="B88" s="3" t="inlineStr">
        <is>
          <t>63010012</t>
        </is>
      </c>
      <c r="C88" s="6" t="n">
        <v>44110</v>
      </c>
      <c r="D88" s="3" t="inlineStr">
        <is>
          <t>FZ</t>
        </is>
      </c>
      <c r="E88" s="3" t="inlineStr">
        <is>
          <t>LKR</t>
        </is>
      </c>
      <c r="F88" s="4" t="n">
        <v>72202.08</v>
      </c>
      <c r="G88" s="3" t="inlineStr">
        <is>
          <t>USD</t>
        </is>
      </c>
      <c r="H88" s="4" t="n">
        <v>387.75</v>
      </c>
      <c r="I88" s="5" t="inlineStr">
        <is>
          <t>8900018916 EUUTPEUY UT 082 201889608-B806H</t>
        </is>
      </c>
      <c r="J88" s="3">
        <f>IF(C88="","",TODAY()-C88)</f>
        <v/>
      </c>
    </row>
    <row r="89">
      <c r="A89" s="5" t="inlineStr">
        <is>
          <t>XT0150</t>
        </is>
      </c>
      <c r="B89" s="3" t="inlineStr">
        <is>
          <t>63010012</t>
        </is>
      </c>
      <c r="C89" s="6" t="n">
        <v>44110</v>
      </c>
      <c r="D89" s="3" t="inlineStr">
        <is>
          <t>FZ</t>
        </is>
      </c>
      <c r="E89" s="3" t="inlineStr">
        <is>
          <t>LKR</t>
        </is>
      </c>
      <c r="F89" s="4" t="n">
        <v>73093.77</v>
      </c>
      <c r="G89" s="3" t="inlineStr">
        <is>
          <t>USD</t>
        </is>
      </c>
      <c r="H89" s="4" t="n">
        <v>392.53</v>
      </c>
      <c r="I89" s="5" t="inlineStr">
        <is>
          <t>8900018917 EUUTPEUY UT 083 201889608-B806G</t>
        </is>
      </c>
      <c r="J89" s="3">
        <f>IF(C89="","",TODAY()-C89)</f>
        <v/>
      </c>
    </row>
    <row r="90">
      <c r="A90" s="5" t="inlineStr">
        <is>
          <t>XT0150</t>
        </is>
      </c>
      <c r="B90" s="3" t="inlineStr">
        <is>
          <t>63010012</t>
        </is>
      </c>
      <c r="C90" s="6" t="n">
        <v>44110</v>
      </c>
      <c r="D90" s="3" t="inlineStr">
        <is>
          <t>FZ</t>
        </is>
      </c>
      <c r="E90" s="3" t="inlineStr">
        <is>
          <t>LKR</t>
        </is>
      </c>
      <c r="F90" s="4" t="n">
        <v>73093.8</v>
      </c>
      <c r="G90" s="3" t="inlineStr">
        <is>
          <t>USD</t>
        </is>
      </c>
      <c r="H90" s="4" t="n">
        <v>392.53</v>
      </c>
      <c r="I90" s="5" t="inlineStr">
        <is>
          <t>8900018946 EUUTPEUY UT 084 201889608-B806W</t>
        </is>
      </c>
      <c r="J90" s="3">
        <f>IF(C90="","",TODAY()-C90)</f>
        <v/>
      </c>
    </row>
    <row r="91">
      <c r="A91" s="5" t="inlineStr">
        <is>
          <t>XT0150</t>
        </is>
      </c>
      <c r="B91" s="3" t="inlineStr">
        <is>
          <t>63010012</t>
        </is>
      </c>
      <c r="C91" s="6" t="n">
        <v>44110</v>
      </c>
      <c r="D91" s="3" t="inlineStr">
        <is>
          <t>FZ</t>
        </is>
      </c>
      <c r="E91" s="3" t="inlineStr">
        <is>
          <t>LKR</t>
        </is>
      </c>
      <c r="F91" s="4" t="n">
        <v>63225</v>
      </c>
      <c r="G91" s="3" t="inlineStr">
        <is>
          <t>USD</t>
        </is>
      </c>
      <c r="H91" s="4" t="n">
        <v>339.54</v>
      </c>
      <c r="I91" s="5" t="inlineStr">
        <is>
          <t>8900018947 EUUTPEUY UT 085 201889608-B806Q</t>
        </is>
      </c>
      <c r="J91" s="3">
        <f>IF(C91="","",TODAY()-C91)</f>
        <v/>
      </c>
    </row>
    <row r="92">
      <c r="A92" s="5" t="inlineStr">
        <is>
          <t>XT0150</t>
        </is>
      </c>
      <c r="B92" s="3" t="inlineStr">
        <is>
          <t>63010012</t>
        </is>
      </c>
      <c r="C92" s="6" t="n">
        <v>44110</v>
      </c>
      <c r="D92" s="3" t="inlineStr">
        <is>
          <t>FZ</t>
        </is>
      </c>
      <c r="E92" s="3" t="inlineStr">
        <is>
          <t>LKR</t>
        </is>
      </c>
      <c r="F92" s="4" t="n">
        <v>104175</v>
      </c>
      <c r="G92" s="3" t="inlineStr">
        <is>
          <t>USD</t>
        </is>
      </c>
      <c r="H92" s="4" t="n">
        <v>559.45</v>
      </c>
      <c r="I92" s="5" t="inlineStr">
        <is>
          <t>8900018948 EUUTPEUY UT 086 201889608-B86Q</t>
        </is>
      </c>
      <c r="J92" s="3">
        <f>IF(C92="","",TODAY()-C92)</f>
        <v/>
      </c>
    </row>
    <row r="93">
      <c r="A93" s="5" t="inlineStr">
        <is>
          <t>XT0150</t>
        </is>
      </c>
      <c r="B93" s="3" t="inlineStr">
        <is>
          <t>63010012</t>
        </is>
      </c>
      <c r="C93" s="6" t="n">
        <v>44110</v>
      </c>
      <c r="D93" s="3" t="inlineStr">
        <is>
          <t>FZ</t>
        </is>
      </c>
      <c r="E93" s="3" t="inlineStr">
        <is>
          <t>LKR</t>
        </is>
      </c>
      <c r="F93" s="4" t="n">
        <v>849.23</v>
      </c>
      <c r="G93" s="3" t="inlineStr">
        <is>
          <t>USD</t>
        </is>
      </c>
      <c r="H93" s="4" t="n">
        <v>4.56</v>
      </c>
      <c r="I93" s="5" t="inlineStr">
        <is>
          <t>8900018949 EUUTPEUY UT 087 201889609-B906L</t>
        </is>
      </c>
      <c r="J93" s="3">
        <f>IF(C93="","",TODAY()-C93)</f>
        <v/>
      </c>
    </row>
    <row r="94">
      <c r="A94" s="5" t="inlineStr">
        <is>
          <t>XT0150</t>
        </is>
      </c>
      <c r="B94" s="3" t="inlineStr">
        <is>
          <t>63010012</t>
        </is>
      </c>
      <c r="C94" s="6" t="n">
        <v>44110</v>
      </c>
      <c r="D94" s="3" t="inlineStr">
        <is>
          <t>FZ</t>
        </is>
      </c>
      <c r="E94" s="3" t="inlineStr">
        <is>
          <t>LKR</t>
        </is>
      </c>
      <c r="F94" s="4" t="n">
        <v>53968.62</v>
      </c>
      <c r="G94" s="3" t="inlineStr">
        <is>
          <t>USD</t>
        </is>
      </c>
      <c r="H94" s="4" t="n">
        <v>289.83</v>
      </c>
      <c r="I94" s="5" t="inlineStr">
        <is>
          <t>8900018973 EUUTPEUY UT 088 201889609-B906Q</t>
        </is>
      </c>
      <c r="J94" s="3">
        <f>IF(C94="","",TODAY()-C94)</f>
        <v/>
      </c>
    </row>
    <row r="95">
      <c r="A95" s="5" t="inlineStr">
        <is>
          <t>UN0100</t>
        </is>
      </c>
      <c r="B95" s="3" t="inlineStr">
        <is>
          <t>63010012</t>
        </is>
      </c>
      <c r="C95" s="6" t="n">
        <v>44110</v>
      </c>
      <c r="D95" s="3" t="inlineStr">
        <is>
          <t>FZ</t>
        </is>
      </c>
      <c r="E95" s="3" t="inlineStr">
        <is>
          <t>LKR</t>
        </is>
      </c>
      <c r="F95" s="4" t="n">
        <v>23247548.23</v>
      </c>
      <c r="G95" s="3" t="inlineStr">
        <is>
          <t>USD</t>
        </is>
      </c>
      <c r="H95" s="4" t="n">
        <v>124845.86</v>
      </c>
      <c r="I95" s="5" t="inlineStr">
        <is>
          <t>2600000260 2600000260 FREGHT PEUYMENTS EXPLEUNKEU F</t>
        </is>
      </c>
      <c r="J95" s="3">
        <f>IF(C95="","",TODAY()-C95)</f>
        <v/>
      </c>
    </row>
    <row r="96">
      <c r="A96" s="5" t="inlineStr">
        <is>
          <t>XT0150</t>
        </is>
      </c>
      <c r="B96" s="3" t="inlineStr">
        <is>
          <t>63010012</t>
        </is>
      </c>
      <c r="C96" s="6" t="n">
        <v>44110</v>
      </c>
      <c r="D96" s="3" t="inlineStr">
        <is>
          <t>FZ</t>
        </is>
      </c>
      <c r="E96" s="3" t="inlineStr">
        <is>
          <t>LKR</t>
        </is>
      </c>
      <c r="F96" s="4" t="n">
        <v>25036.86</v>
      </c>
      <c r="G96" s="3" t="inlineStr">
        <is>
          <t>USD</t>
        </is>
      </c>
      <c r="H96" s="4" t="n">
        <v>134.45</v>
      </c>
      <c r="I96" s="5" t="inlineStr">
        <is>
          <t>2600000619 2600000619 CMMUNCEUTN EXPENCES DEUL</t>
        </is>
      </c>
      <c r="J96" s="3">
        <f>IF(C96="","",TODAY()-C96)</f>
        <v/>
      </c>
    </row>
    <row r="97">
      <c r="A97" s="5" t="inlineStr">
        <is>
          <t>UN0100</t>
        </is>
      </c>
      <c r="B97" s="3" t="inlineStr">
        <is>
          <t>63010012</t>
        </is>
      </c>
      <c r="C97" s="6" t="n">
        <v>44049</v>
      </c>
      <c r="D97" s="3" t="inlineStr">
        <is>
          <t>FZ</t>
        </is>
      </c>
      <c r="E97" s="3" t="inlineStr">
        <is>
          <t>LKR</t>
        </is>
      </c>
      <c r="F97" s="4" t="n">
        <v>20000000</v>
      </c>
      <c r="G97" s="3" t="inlineStr">
        <is>
          <t>USD</t>
        </is>
      </c>
      <c r="H97" s="4" t="n">
        <v>107405.62</v>
      </c>
      <c r="I97" s="5" t="inlineStr">
        <is>
          <t>EUTG20FT0055 RTGS TUNF T SCB BK /01500727501 TT CBH</t>
        </is>
      </c>
      <c r="J97" s="3">
        <f>IF(C97="","",TODAY()-C97)</f>
        <v/>
      </c>
    </row>
    <row r="98">
      <c r="A98" s="5" t="inlineStr">
        <is>
          <t>XT0150</t>
        </is>
      </c>
      <c r="B98" s="3" t="inlineStr">
        <is>
          <t>63010012</t>
        </is>
      </c>
      <c r="C98" s="6" t="n">
        <v>44049</v>
      </c>
      <c r="D98" s="3" t="inlineStr">
        <is>
          <t>FZ</t>
        </is>
      </c>
      <c r="E98" s="3" t="inlineStr">
        <is>
          <t>LKR</t>
        </is>
      </c>
      <c r="F98" s="4" t="n">
        <v>12292174.92</v>
      </c>
      <c r="G98" s="3" t="inlineStr">
        <is>
          <t>USD</t>
        </is>
      </c>
      <c r="H98" s="4" t="n">
        <v>66012.42999999999</v>
      </c>
      <c r="I98" s="5" t="inlineStr">
        <is>
          <t>HRMS EUUTPEUY UT EU09 HRMS</t>
        </is>
      </c>
      <c r="J98" s="3">
        <f>IF(C98="","",TODAY()-C98)</f>
        <v/>
      </c>
    </row>
    <row r="99">
      <c r="A99" s="5" t="inlineStr">
        <is>
          <t>UN0150</t>
        </is>
      </c>
      <c r="B99" s="3" t="inlineStr">
        <is>
          <t>63010012</t>
        </is>
      </c>
      <c r="C99" s="6" t="n">
        <v>44049</v>
      </c>
      <c r="D99" s="3" t="inlineStr">
        <is>
          <t>FZ</t>
        </is>
      </c>
      <c r="E99" s="3" t="inlineStr">
        <is>
          <t>LKR</t>
        </is>
      </c>
      <c r="F99" s="4" t="n">
        <v>103680.35</v>
      </c>
      <c r="G99" s="3" t="inlineStr">
        <is>
          <t>USD</t>
        </is>
      </c>
      <c r="H99" s="4" t="n">
        <v>556.79</v>
      </c>
      <c r="I99" s="5" t="inlineStr">
        <is>
          <t>NCENTVE N EUUTPEUY UT S10 NEW NCENTVE NT EFF</t>
        </is>
      </c>
      <c r="J99" s="3">
        <f>IF(C99="","",TODAY()-C99)</f>
        <v/>
      </c>
    </row>
    <row r="100">
      <c r="A100" s="5" t="inlineStr">
        <is>
          <t>UN0150</t>
        </is>
      </c>
      <c r="B100" s="3" t="inlineStr">
        <is>
          <t>63010012</t>
        </is>
      </c>
      <c r="C100" s="6" t="n">
        <v>44049</v>
      </c>
      <c r="D100" s="3" t="inlineStr">
        <is>
          <t>FZ</t>
        </is>
      </c>
      <c r="E100" s="3" t="inlineStr">
        <is>
          <t>LKR</t>
        </is>
      </c>
      <c r="F100" s="4" t="n">
        <v>30000000</v>
      </c>
      <c r="G100" s="3" t="inlineStr">
        <is>
          <t>USD</t>
        </is>
      </c>
      <c r="H100" s="4" t="n">
        <v>161108.43</v>
      </c>
      <c r="I100" s="5" t="inlineStr">
        <is>
          <t>LEU20FT0084 RTGS TUNF T SCB BK /01367905501 TT CBH6</t>
        </is>
      </c>
      <c r="J100" s="3">
        <f>IF(C100="","",TODAY()-C100)</f>
        <v/>
      </c>
    </row>
    <row r="101">
      <c r="A101" s="5" t="inlineStr">
        <is>
          <t>XT0150</t>
        </is>
      </c>
      <c r="B101" s="3" t="inlineStr">
        <is>
          <t>63010012</t>
        </is>
      </c>
      <c r="C101" s="6" t="n">
        <v>44018</v>
      </c>
      <c r="D101" s="3" t="inlineStr">
        <is>
          <t>FZ</t>
        </is>
      </c>
      <c r="E101" s="3" t="inlineStr">
        <is>
          <t>LKR</t>
        </is>
      </c>
      <c r="F101" s="4" t="n">
        <v>217260594.19</v>
      </c>
      <c r="G101" s="3" t="inlineStr">
        <is>
          <t>USD</t>
        </is>
      </c>
      <c r="H101" s="4" t="n">
        <v>1166750.41</v>
      </c>
      <c r="I101" s="5" t="n">
        <v/>
      </c>
      <c r="J101" s="3">
        <f>IF(C101="","",TODAY()-C101)</f>
        <v/>
      </c>
    </row>
    <row r="102">
      <c r="A102" s="5" t="inlineStr">
        <is>
          <t>XT0150</t>
        </is>
      </c>
      <c r="B102" s="3" t="inlineStr">
        <is>
          <t>63010012</t>
        </is>
      </c>
      <c r="C102" s="6" t="n">
        <v>44049</v>
      </c>
      <c r="D102" s="3" t="inlineStr">
        <is>
          <t>FZ</t>
        </is>
      </c>
      <c r="E102" s="3" t="inlineStr">
        <is>
          <t>LKR</t>
        </is>
      </c>
      <c r="F102" s="4" t="n">
        <v>12531730.78</v>
      </c>
      <c r="G102" s="3" t="inlineStr">
        <is>
          <t>USD</t>
        </is>
      </c>
      <c r="H102" s="4" t="n">
        <v>67298.91</v>
      </c>
      <c r="I102" s="5" t="n">
        <v/>
      </c>
      <c r="J102" s="3">
        <f>IF(C102="","",TODAY()-C102)</f>
        <v/>
      </c>
    </row>
    <row r="103">
      <c r="A103" s="5" t="inlineStr">
        <is>
          <t>XT0150</t>
        </is>
      </c>
      <c r="B103" s="3" t="inlineStr">
        <is>
          <t>63010012</t>
        </is>
      </c>
      <c r="C103" s="6" t="n">
        <v>44080</v>
      </c>
      <c r="D103" s="3" t="inlineStr">
        <is>
          <t>FZ</t>
        </is>
      </c>
      <c r="E103" s="3" t="inlineStr">
        <is>
          <t>LKR</t>
        </is>
      </c>
      <c r="F103" s="4" t="n">
        <v>11665805.78</v>
      </c>
      <c r="G103" s="3" t="inlineStr">
        <is>
          <t>USD</t>
        </is>
      </c>
      <c r="H103" s="4" t="n">
        <v>62648.65</v>
      </c>
      <c r="I103" s="5" t="n">
        <v/>
      </c>
      <c r="J103" s="3">
        <f>IF(C103="","",TODAY()-C103)</f>
        <v/>
      </c>
    </row>
    <row r="104">
      <c r="A104" s="5" t="inlineStr">
        <is>
          <t>XT0150</t>
        </is>
      </c>
      <c r="B104" s="3" t="inlineStr">
        <is>
          <t>63010012</t>
        </is>
      </c>
      <c r="C104" s="6" t="n">
        <v>44110</v>
      </c>
      <c r="D104" s="3" t="inlineStr">
        <is>
          <t>FZ</t>
        </is>
      </c>
      <c r="E104" s="3" t="inlineStr">
        <is>
          <t>LKR</t>
        </is>
      </c>
      <c r="F104" s="4" t="n">
        <v>11053114</v>
      </c>
      <c r="G104" s="3" t="inlineStr">
        <is>
          <t>USD</t>
        </is>
      </c>
      <c r="H104" s="4" t="n">
        <v>59358.33</v>
      </c>
      <c r="I104" s="5" t="n">
        <v/>
      </c>
      <c r="J104" s="3">
        <f>IF(C104="","",TODAY()-C104)</f>
        <v/>
      </c>
    </row>
    <row r="105">
      <c r="A105" s="5" t="inlineStr">
        <is>
          <t>UN0150</t>
        </is>
      </c>
      <c r="B105" s="3" t="inlineStr">
        <is>
          <t>63010012</t>
        </is>
      </c>
      <c r="C105" s="6" t="n">
        <v>44018</v>
      </c>
      <c r="D105" s="3" t="inlineStr">
        <is>
          <t>FZ</t>
        </is>
      </c>
      <c r="E105" s="3" t="inlineStr">
        <is>
          <t>LKR</t>
        </is>
      </c>
      <c r="F105" s="4" t="n">
        <v>26060577.79</v>
      </c>
      <c r="G105" s="3" t="inlineStr">
        <is>
          <t>USD</t>
        </is>
      </c>
      <c r="H105" s="4" t="n">
        <v>139952.62</v>
      </c>
      <c r="I105" s="5" t="inlineStr">
        <is>
          <t>NNREF EUBCNSFER T 001-270206-040 001-270206-040</t>
        </is>
      </c>
      <c r="J105" s="3">
        <f>IF(C105="","",TODAY()-C105)</f>
        <v/>
      </c>
    </row>
    <row r="106">
      <c r="A106" s="5" t="inlineStr">
        <is>
          <t>UN0150</t>
        </is>
      </c>
      <c r="B106" s="3" t="inlineStr">
        <is>
          <t>63010012</t>
        </is>
      </c>
      <c r="C106" s="6" t="n">
        <v>44049</v>
      </c>
      <c r="D106" s="3" t="inlineStr">
        <is>
          <t>FZ</t>
        </is>
      </c>
      <c r="E106" s="3" t="inlineStr">
        <is>
          <t>LKR</t>
        </is>
      </c>
      <c r="F106" s="4" t="n">
        <v>157888421.12</v>
      </c>
      <c r="G106" s="3" t="inlineStr">
        <is>
          <t>USD</t>
        </is>
      </c>
      <c r="H106" s="4" t="n">
        <v>847905.17</v>
      </c>
      <c r="I106" s="5" t="inlineStr">
        <is>
          <t>NNREF EUBCNSFER T 001-270206-040 001-270206-040</t>
        </is>
      </c>
      <c r="J106" s="3">
        <f>IF(C106="","",TODAY()-C106)</f>
        <v/>
      </c>
    </row>
    <row r="107">
      <c r="A107" s="5" t="inlineStr">
        <is>
          <t>UN0150</t>
        </is>
      </c>
      <c r="B107" s="3" t="inlineStr">
        <is>
          <t>63010012</t>
        </is>
      </c>
      <c r="C107" s="6" t="n">
        <v>44080</v>
      </c>
      <c r="D107" s="3" t="inlineStr">
        <is>
          <t>FZ</t>
        </is>
      </c>
      <c r="E107" s="3" t="inlineStr">
        <is>
          <t>LKR</t>
        </is>
      </c>
      <c r="F107" s="4" t="n">
        <v>24275518.02</v>
      </c>
      <c r="G107" s="3" t="inlineStr">
        <is>
          <t>USD</t>
        </is>
      </c>
      <c r="H107" s="4" t="n">
        <v>130366.35</v>
      </c>
      <c r="I107" s="5" t="inlineStr">
        <is>
          <t>NNREF EUBCNSFER T 001-270206-040 001-270206-040</t>
        </is>
      </c>
      <c r="J107" s="3">
        <f>IF(C107="","",TODAY()-C107)</f>
        <v/>
      </c>
    </row>
    <row r="108">
      <c r="A108" s="5" t="inlineStr">
        <is>
          <t>UN0150</t>
        </is>
      </c>
      <c r="B108" s="3" t="inlineStr">
        <is>
          <t>63010012</t>
        </is>
      </c>
      <c r="C108" s="6" t="n">
        <v>44110</v>
      </c>
      <c r="D108" s="3" t="inlineStr">
        <is>
          <t>FZ</t>
        </is>
      </c>
      <c r="E108" s="3" t="inlineStr">
        <is>
          <t>LKR</t>
        </is>
      </c>
      <c r="F108" s="4" t="n">
        <v>24186394.94</v>
      </c>
      <c r="G108" s="3" t="inlineStr">
        <is>
          <t>USD</t>
        </is>
      </c>
      <c r="H108" s="4" t="n">
        <v>129887.73</v>
      </c>
      <c r="I108" s="5" t="inlineStr">
        <is>
          <t>NNREF EUBCNSFER T 001-270206-040 001-270206-040</t>
        </is>
      </c>
      <c r="J108" s="3">
        <f>IF(C108="","",TODAY()-C108)</f>
        <v/>
      </c>
    </row>
    <row r="109">
      <c r="A109" s="5" t="inlineStr">
        <is>
          <t>XT0150</t>
        </is>
      </c>
      <c r="B109" s="3" t="inlineStr">
        <is>
          <t>63010012</t>
        </is>
      </c>
      <c r="C109" s="6" t="n">
        <v>44049</v>
      </c>
      <c r="D109" s="3" t="inlineStr">
        <is>
          <t>FZ</t>
        </is>
      </c>
      <c r="E109" s="3" t="inlineStr">
        <is>
          <t>LKR</t>
        </is>
      </c>
      <c r="F109" s="4" t="n">
        <v>19295207.14</v>
      </c>
      <c r="G109" s="3" t="inlineStr">
        <is>
          <t>USD</t>
        </is>
      </c>
      <c r="H109" s="4" t="n">
        <v>103620.68</v>
      </c>
      <c r="I109" s="5" t="inlineStr">
        <is>
          <t>REF4895273 EUUTPEUY UT EUP3 REF4895273</t>
        </is>
      </c>
      <c r="J109" s="3">
        <f>IF(C109="","",TODAY()-C109)</f>
        <v/>
      </c>
    </row>
    <row r="110">
      <c r="A110" s="5" t="inlineStr">
        <is>
          <t>XT0150</t>
        </is>
      </c>
      <c r="B110" s="3" t="inlineStr">
        <is>
          <t>63010012</t>
        </is>
      </c>
      <c r="C110" s="6" t="n">
        <v>44049</v>
      </c>
      <c r="D110" s="3" t="inlineStr">
        <is>
          <t>FZ</t>
        </is>
      </c>
      <c r="E110" s="3" t="inlineStr">
        <is>
          <t>LKR</t>
        </is>
      </c>
      <c r="F110" s="4" t="n">
        <v>58360959.92</v>
      </c>
      <c r="G110" s="3" t="inlineStr">
        <is>
          <t>USD</t>
        </is>
      </c>
      <c r="H110" s="4" t="n">
        <v>313414.75</v>
      </c>
      <c r="I110" s="5" t="inlineStr">
        <is>
          <t>REF4895301 EUUTPEUY UT EUP4 REF4895301</t>
        </is>
      </c>
      <c r="J110" s="3">
        <f>IF(C110="","",TODAY()-C110)</f>
        <v/>
      </c>
    </row>
    <row r="111">
      <c r="A111" s="5" t="inlineStr">
        <is>
          <t>XT0150</t>
        </is>
      </c>
      <c r="B111" s="3" t="inlineStr">
        <is>
          <t>63010012</t>
        </is>
      </c>
      <c r="C111" s="6" t="n">
        <v>44049</v>
      </c>
      <c r="D111" s="3" t="inlineStr">
        <is>
          <t>FZ</t>
        </is>
      </c>
      <c r="E111" s="3" t="inlineStr">
        <is>
          <t>LKR</t>
        </is>
      </c>
      <c r="F111" s="4" t="n">
        <v>133262521.43</v>
      </c>
      <c r="G111" s="3" t="inlineStr">
        <is>
          <t>USD</t>
        </is>
      </c>
      <c r="H111" s="4" t="n">
        <v>715657.17</v>
      </c>
      <c r="I111" s="5" t="inlineStr">
        <is>
          <t>REF4901541 EUUTPEUY UT EUP5 REF4901541</t>
        </is>
      </c>
      <c r="J111" s="3">
        <f>IF(C111="","",TODAY()-C111)</f>
        <v/>
      </c>
    </row>
    <row r="112">
      <c r="A112" s="5" t="inlineStr">
        <is>
          <t>UN0150</t>
        </is>
      </c>
      <c r="B112" s="3" t="inlineStr">
        <is>
          <t>63010012</t>
        </is>
      </c>
      <c r="C112" s="6" t="n">
        <v>44080</v>
      </c>
      <c r="D112" s="3" t="inlineStr">
        <is>
          <t>FZ</t>
        </is>
      </c>
      <c r="E112" s="3" t="inlineStr">
        <is>
          <t>LKR</t>
        </is>
      </c>
      <c r="F112" s="4" t="n">
        <v>65691740.33</v>
      </c>
      <c r="G112" s="3" t="inlineStr">
        <is>
          <t>USD</t>
        </is>
      </c>
      <c r="H112" s="4" t="n">
        <v>352783.1</v>
      </c>
      <c r="I112" s="5" t="inlineStr">
        <is>
          <t>REF4902934 EUUTPEUY UT 111 REF4902934</t>
        </is>
      </c>
      <c r="J112" s="3">
        <f>IF(C112="","",TODAY()-C112)</f>
        <v/>
      </c>
    </row>
    <row r="113">
      <c r="A113" s="5" t="inlineStr">
        <is>
          <t>UN0150</t>
        </is>
      </c>
      <c r="B113" s="3" t="inlineStr">
        <is>
          <t>63010012</t>
        </is>
      </c>
      <c r="C113" s="6" t="n">
        <v>44080</v>
      </c>
      <c r="D113" s="3" t="inlineStr">
        <is>
          <t>FZ</t>
        </is>
      </c>
      <c r="E113" s="3" t="inlineStr">
        <is>
          <t>LKR</t>
        </is>
      </c>
      <c r="F113" s="4" t="n">
        <v>18778631.1</v>
      </c>
      <c r="G113" s="3" t="inlineStr">
        <is>
          <t>USD</t>
        </is>
      </c>
      <c r="H113" s="4" t="n">
        <v>100846.52</v>
      </c>
      <c r="I113" s="5" t="inlineStr">
        <is>
          <t>REF4903095 EUUTPEUY UT 112 REF4903095</t>
        </is>
      </c>
      <c r="J113" s="3">
        <f>IF(C113="","",TODAY()-C113)</f>
        <v/>
      </c>
    </row>
    <row r="114">
      <c r="A114" s="5" t="inlineStr">
        <is>
          <t>UN0100</t>
        </is>
      </c>
      <c r="B114" s="3" t="inlineStr">
        <is>
          <t>63010012</t>
        </is>
      </c>
      <c r="C114" s="6" t="n">
        <v>44080</v>
      </c>
      <c r="D114" s="3" t="inlineStr">
        <is>
          <t>FZ</t>
        </is>
      </c>
      <c r="E114" s="3" t="inlineStr">
        <is>
          <t>LKR</t>
        </is>
      </c>
      <c r="F114" s="4" t="n">
        <v>6306703.84</v>
      </c>
      <c r="G114" s="3" t="inlineStr">
        <is>
          <t>USD</t>
        </is>
      </c>
      <c r="H114" s="4" t="n">
        <v>33868.77</v>
      </c>
      <c r="I114" s="5" t="inlineStr">
        <is>
          <t>REF4903117 EUUTPEUY UT S05 REF4903117</t>
        </is>
      </c>
      <c r="J114" s="3">
        <f>IF(C114="","",TODAY()-C114)</f>
        <v/>
      </c>
    </row>
    <row r="115">
      <c r="A115" s="5" t="inlineStr">
        <is>
          <t>UN0100</t>
        </is>
      </c>
      <c r="B115" s="3" t="inlineStr">
        <is>
          <t>63010012</t>
        </is>
      </c>
      <c r="C115" s="6" t="n">
        <v>44080</v>
      </c>
      <c r="D115" s="3" t="inlineStr">
        <is>
          <t>FZ</t>
        </is>
      </c>
      <c r="E115" s="3" t="inlineStr">
        <is>
          <t>LKR</t>
        </is>
      </c>
      <c r="F115" s="4" t="n">
        <v>388923.95</v>
      </c>
      <c r="G115" s="3" t="inlineStr">
        <is>
          <t>USD</t>
        </is>
      </c>
      <c r="H115" s="4" t="n">
        <v>2088.63</v>
      </c>
      <c r="I115" s="5" t="inlineStr">
        <is>
          <t>REF4903131 EUUTPEUY UT S06 REF4903131</t>
        </is>
      </c>
      <c r="J115" s="3">
        <f>IF(C115="","",TODAY()-C115)</f>
        <v/>
      </c>
    </row>
    <row r="116">
      <c r="A116" s="5" t="inlineStr">
        <is>
          <t>UN0150</t>
        </is>
      </c>
      <c r="B116" s="3" t="inlineStr">
        <is>
          <t>63010012</t>
        </is>
      </c>
      <c r="C116" s="6" t="n">
        <v>44080</v>
      </c>
      <c r="D116" s="3" t="inlineStr">
        <is>
          <t>FZ</t>
        </is>
      </c>
      <c r="E116" s="3" t="inlineStr">
        <is>
          <t>LKR</t>
        </is>
      </c>
      <c r="F116" s="4" t="n">
        <v>6554162.19</v>
      </c>
      <c r="G116" s="3" t="inlineStr">
        <is>
          <t>USD</t>
        </is>
      </c>
      <c r="H116" s="4" t="n">
        <v>35197.69</v>
      </c>
      <c r="I116" s="5" t="inlineStr">
        <is>
          <t>REF4903586 EUUTPEUY UT S10 REF4903586</t>
        </is>
      </c>
      <c r="J116" s="3">
        <f>IF(C116="","",TODAY()-C116)</f>
        <v/>
      </c>
    </row>
    <row r="117">
      <c r="A117" s="5" t="inlineStr">
        <is>
          <t>UN0150</t>
        </is>
      </c>
      <c r="B117" s="3" t="inlineStr">
        <is>
          <t>63010012</t>
        </is>
      </c>
      <c r="C117" s="6" t="n">
        <v>44080</v>
      </c>
      <c r="D117" s="3" t="inlineStr">
        <is>
          <t>FZ</t>
        </is>
      </c>
      <c r="E117" s="3" t="inlineStr">
        <is>
          <t>LKR</t>
        </is>
      </c>
      <c r="F117" s="4" t="n">
        <v>26111152.13</v>
      </c>
      <c r="G117" s="3" t="inlineStr">
        <is>
          <t>USD</t>
        </is>
      </c>
      <c r="H117" s="4" t="n">
        <v>140224.22</v>
      </c>
      <c r="I117" s="5" t="inlineStr">
        <is>
          <t>REF4903847 EUUTPEUY UT S11 REF4903847</t>
        </is>
      </c>
      <c r="J117" s="3">
        <f>IF(C117="","",TODAY()-C117)</f>
        <v/>
      </c>
    </row>
    <row r="118">
      <c r="A118" s="5" t="inlineStr">
        <is>
          <t>UN0150</t>
        </is>
      </c>
      <c r="B118" s="3" t="inlineStr">
        <is>
          <t>63010012</t>
        </is>
      </c>
      <c r="C118" s="6" t="n">
        <v>44080</v>
      </c>
      <c r="D118" s="3" t="inlineStr">
        <is>
          <t>FZ</t>
        </is>
      </c>
      <c r="E118" s="3" t="inlineStr">
        <is>
          <t>LKR</t>
        </is>
      </c>
      <c r="F118" s="4" t="n">
        <v>10518361.58</v>
      </c>
      <c r="G118" s="3" t="inlineStr">
        <is>
          <t>USD</t>
        </is>
      </c>
      <c r="H118" s="4" t="n">
        <v>56486.56</v>
      </c>
      <c r="I118" s="5" t="n">
        <v/>
      </c>
      <c r="J118" s="3">
        <f>IF(C118="","",TODAY()-C118)</f>
        <v/>
      </c>
    </row>
    <row r="119">
      <c r="A119" s="5" t="inlineStr">
        <is>
          <t>UN0150</t>
        </is>
      </c>
      <c r="B119" s="3" t="inlineStr">
        <is>
          <t>63010012</t>
        </is>
      </c>
      <c r="C119" s="6" t="n">
        <v>44080</v>
      </c>
      <c r="D119" s="3" t="inlineStr">
        <is>
          <t>FZ</t>
        </is>
      </c>
      <c r="E119" s="3" t="inlineStr">
        <is>
          <t>LKR</t>
        </is>
      </c>
      <c r="F119" s="4" t="n">
        <v>2743561.83</v>
      </c>
      <c r="G119" s="3" t="inlineStr">
        <is>
          <t>USD</t>
        </is>
      </c>
      <c r="H119" s="4" t="n">
        <v>14733.7</v>
      </c>
      <c r="I119" s="5" t="n">
        <v/>
      </c>
      <c r="J119" s="3">
        <f>IF(C119="","",TODAY()-C119)</f>
        <v/>
      </c>
    </row>
    <row r="120">
      <c r="A120" s="5" t="inlineStr">
        <is>
          <t>UN0100</t>
        </is>
      </c>
      <c r="B120" s="3" t="inlineStr">
        <is>
          <t>63010012</t>
        </is>
      </c>
      <c r="C120" s="6" t="n">
        <v>44080</v>
      </c>
      <c r="D120" s="3" t="inlineStr">
        <is>
          <t>FZ</t>
        </is>
      </c>
      <c r="E120" s="3" t="inlineStr">
        <is>
          <t>LKR</t>
        </is>
      </c>
      <c r="F120" s="4" t="n">
        <v>28250645.89</v>
      </c>
      <c r="G120" s="3" t="inlineStr">
        <is>
          <t>USD</t>
        </is>
      </c>
      <c r="H120" s="4" t="n">
        <v>151713.9</v>
      </c>
      <c r="I120" s="5" t="n">
        <v/>
      </c>
      <c r="J120" s="3">
        <f>IF(C120="","",TODAY()-C120)</f>
        <v/>
      </c>
    </row>
    <row r="121">
      <c r="A121" s="5" t="inlineStr">
        <is>
          <t>UN0100</t>
        </is>
      </c>
      <c r="B121" s="3" t="inlineStr">
        <is>
          <t>63010012</t>
        </is>
      </c>
      <c r="C121" s="6" t="n">
        <v>44141</v>
      </c>
      <c r="D121" s="3" t="inlineStr">
        <is>
          <t>FZ</t>
        </is>
      </c>
      <c r="E121" s="3" t="inlineStr">
        <is>
          <t>LKR</t>
        </is>
      </c>
      <c r="F121" s="4" t="n">
        <v>33000</v>
      </c>
      <c r="G121" s="3" t="inlineStr">
        <is>
          <t>USD</t>
        </is>
      </c>
      <c r="H121" s="4" t="n">
        <v>174.37</v>
      </c>
      <c r="I121" s="5" t="inlineStr">
        <is>
          <t>000338 CLEEURNG CHEQUES</t>
        </is>
      </c>
      <c r="J121" s="3">
        <f>IF(C121="","",TODAY()-C121)</f>
        <v/>
      </c>
    </row>
    <row r="122">
      <c r="A122" s="5" t="inlineStr">
        <is>
          <t>UN0150</t>
        </is>
      </c>
      <c r="B122" s="3" t="inlineStr">
        <is>
          <t>63010012</t>
        </is>
      </c>
      <c r="C122" s="6" t="n">
        <v>44141</v>
      </c>
      <c r="D122" s="3" t="inlineStr">
        <is>
          <t>FZ</t>
        </is>
      </c>
      <c r="E122" s="3" t="inlineStr">
        <is>
          <t>LKR</t>
        </is>
      </c>
      <c r="F122" s="4" t="n">
        <v>46300</v>
      </c>
      <c r="G122" s="3" t="inlineStr">
        <is>
          <t>USD</t>
        </is>
      </c>
      <c r="H122" s="4" t="n">
        <v>244.65</v>
      </c>
      <c r="I122" s="5" t="inlineStr">
        <is>
          <t>210352 CLEEURNG CHEQUES</t>
        </is>
      </c>
      <c r="J122" s="3">
        <f>IF(C122="","",TODAY()-C122)</f>
        <v/>
      </c>
    </row>
    <row r="123">
      <c r="A123" s="5" t="inlineStr">
        <is>
          <t>UN0150</t>
        </is>
      </c>
      <c r="B123" s="3" t="inlineStr">
        <is>
          <t>63010012</t>
        </is>
      </c>
      <c r="C123" s="6" t="n">
        <v>44141</v>
      </c>
      <c r="D123" s="3" t="inlineStr">
        <is>
          <t>FZ</t>
        </is>
      </c>
      <c r="E123" s="3" t="inlineStr">
        <is>
          <t>LKR</t>
        </is>
      </c>
      <c r="F123" s="4" t="n">
        <v>46300</v>
      </c>
      <c r="G123" s="3" t="inlineStr">
        <is>
          <t>USD</t>
        </is>
      </c>
      <c r="H123" s="4" t="n">
        <v>242.78</v>
      </c>
      <c r="I123" s="5" t="inlineStr">
        <is>
          <t>210373 CLEEURNG CHEQUES</t>
        </is>
      </c>
      <c r="J123" s="3">
        <f>IF(C123="","",TODAY()-C123)</f>
        <v/>
      </c>
    </row>
    <row r="124">
      <c r="A124" s="5" t="inlineStr">
        <is>
          <t>UN0150</t>
        </is>
      </c>
      <c r="B124" s="3" t="inlineStr">
        <is>
          <t>63010012</t>
        </is>
      </c>
      <c r="C124" s="6" t="n">
        <v>44141</v>
      </c>
      <c r="D124" s="3" t="inlineStr">
        <is>
          <t>FZ</t>
        </is>
      </c>
      <c r="E124" s="3" t="inlineStr">
        <is>
          <t>LKR</t>
        </is>
      </c>
      <c r="F124" s="4" t="n">
        <v>101834.45</v>
      </c>
      <c r="G124" s="3" t="inlineStr">
        <is>
          <t>USD</t>
        </is>
      </c>
      <c r="H124" s="4" t="n">
        <v>533.98</v>
      </c>
      <c r="I124" s="5" t="inlineStr">
        <is>
          <t>210384 CLEEURNG CHEQUES</t>
        </is>
      </c>
      <c r="J124" s="3">
        <f>IF(C124="","",TODAY()-C124)</f>
        <v/>
      </c>
    </row>
    <row r="125">
      <c r="A125" s="5" t="inlineStr">
        <is>
          <t>UN0150</t>
        </is>
      </c>
      <c r="B125" s="3" t="inlineStr">
        <is>
          <t>63010012</t>
        </is>
      </c>
      <c r="C125" s="6" t="n">
        <v>44141</v>
      </c>
      <c r="D125" s="3" t="inlineStr">
        <is>
          <t>FZ</t>
        </is>
      </c>
      <c r="E125" s="3" t="inlineStr">
        <is>
          <t>LKR</t>
        </is>
      </c>
      <c r="F125" s="4" t="n">
        <v>159999</v>
      </c>
      <c r="G125" s="3" t="inlineStr">
        <is>
          <t>USD</t>
        </is>
      </c>
      <c r="H125" s="4" t="n">
        <v>859.24</v>
      </c>
      <c r="I125" s="5" t="inlineStr">
        <is>
          <t>8900009943 EUUTPEUY UT 015 201889610-SEUD09</t>
        </is>
      </c>
      <c r="J125" s="3">
        <f>IF(C125="","",TODAY()-C125)</f>
        <v/>
      </c>
    </row>
    <row r="126">
      <c r="A126" s="5" t="inlineStr">
        <is>
          <t>UN0150</t>
        </is>
      </c>
      <c r="B126" s="3" t="inlineStr">
        <is>
          <t>63010012</t>
        </is>
      </c>
      <c r="C126" s="6" t="n">
        <v>44141</v>
      </c>
      <c r="D126" s="3" t="inlineStr">
        <is>
          <t>FZ</t>
        </is>
      </c>
      <c r="E126" s="3" t="inlineStr">
        <is>
          <t>LKR</t>
        </is>
      </c>
      <c r="F126" s="4" t="n">
        <v>608825</v>
      </c>
      <c r="G126" s="3" t="inlineStr">
        <is>
          <t>USD</t>
        </is>
      </c>
      <c r="H126" s="4" t="n">
        <v>3269.56</v>
      </c>
      <c r="I126" s="5" t="inlineStr">
        <is>
          <t>2600000559 2600000559 DHL KEELLS DLL LTD-LKR</t>
        </is>
      </c>
      <c r="J126" s="3">
        <f>IF(C126="","",TODAY()-C126)</f>
        <v/>
      </c>
    </row>
    <row r="127">
      <c r="A127" s="5" t="inlineStr">
        <is>
          <t>UN0100</t>
        </is>
      </c>
      <c r="B127" s="3" t="inlineStr">
        <is>
          <t>63010012</t>
        </is>
      </c>
      <c r="C127" s="6" t="n">
        <v>44141</v>
      </c>
      <c r="D127" s="3" t="inlineStr">
        <is>
          <t>FZ</t>
        </is>
      </c>
      <c r="E127" s="3" t="inlineStr">
        <is>
          <t>LKR</t>
        </is>
      </c>
      <c r="F127" s="4" t="n">
        <v>738000</v>
      </c>
      <c r="G127" s="3" t="inlineStr">
        <is>
          <t>USD</t>
        </is>
      </c>
      <c r="H127" s="4" t="n">
        <v>3963.27</v>
      </c>
      <c r="I127" s="5" t="inlineStr">
        <is>
          <t>9001M31FR2EE EUUTPEUY UT V59 201889610-RP05</t>
        </is>
      </c>
      <c r="J127" s="3">
        <f>IF(C127="","",TODAY()-C127)</f>
        <v/>
      </c>
    </row>
    <row r="128">
      <c r="A128" s="5" t="inlineStr">
        <is>
          <t>XT0150</t>
        </is>
      </c>
      <c r="B128" s="3" t="inlineStr">
        <is>
          <t>63010012</t>
        </is>
      </c>
      <c r="C128" s="6" t="n">
        <v>44141</v>
      </c>
      <c r="D128" s="3" t="inlineStr">
        <is>
          <t>FZ</t>
        </is>
      </c>
      <c r="E128" s="3" t="inlineStr">
        <is>
          <t>LKR</t>
        </is>
      </c>
      <c r="F128" s="4" t="n">
        <v>11053114</v>
      </c>
      <c r="G128" s="3" t="inlineStr">
        <is>
          <t>USD</t>
        </is>
      </c>
      <c r="H128" s="4" t="n">
        <v>59358.33</v>
      </c>
      <c r="I128" s="5" t="n">
        <v/>
      </c>
      <c r="J128" s="3">
        <f>IF(C128="","",TODAY()-C128)</f>
        <v/>
      </c>
    </row>
    <row r="129">
      <c r="A129" s="5" t="inlineStr">
        <is>
          <t>UN0150</t>
        </is>
      </c>
      <c r="B129" s="3" t="inlineStr">
        <is>
          <t>63010012</t>
        </is>
      </c>
      <c r="C129" s="6" t="n">
        <v>44141</v>
      </c>
      <c r="D129" s="3" t="inlineStr">
        <is>
          <t>FZ</t>
        </is>
      </c>
      <c r="E129" s="3" t="inlineStr">
        <is>
          <t>LKR</t>
        </is>
      </c>
      <c r="F129" s="4" t="n">
        <v>30598962.74</v>
      </c>
      <c r="G129" s="3" t="inlineStr">
        <is>
          <t>USD</t>
        </is>
      </c>
      <c r="H129" s="4" t="n">
        <v>164325.02</v>
      </c>
      <c r="I129" s="5" t="inlineStr">
        <is>
          <t>NNREF EUBCNSFER T 001-270206-040 001-270206-040</t>
        </is>
      </c>
      <c r="J129" s="3">
        <f>IF(C129="","",TODAY()-C129)</f>
        <v/>
      </c>
    </row>
    <row r="130">
      <c r="A130" s="5" t="inlineStr">
        <is>
          <t>UN0150</t>
        </is>
      </c>
      <c r="B130" s="3" t="inlineStr">
        <is>
          <t>63010012</t>
        </is>
      </c>
      <c r="C130" s="6" t="n">
        <v>44171</v>
      </c>
      <c r="D130" s="3" t="inlineStr">
        <is>
          <t>FZ</t>
        </is>
      </c>
      <c r="E130" s="3" t="inlineStr">
        <is>
          <t>LKR</t>
        </is>
      </c>
      <c r="F130" s="4" t="n">
        <v>30881.85</v>
      </c>
      <c r="G130" s="3" t="inlineStr">
        <is>
          <t>USD</t>
        </is>
      </c>
      <c r="H130" s="4" t="n">
        <v>169.69</v>
      </c>
      <c r="I130" s="5" t="inlineStr">
        <is>
          <t>210313 CLEEURNG CHEQUES</t>
        </is>
      </c>
      <c r="J130" s="3">
        <f>IF(C130="","",TODAY()-C130)</f>
        <v/>
      </c>
    </row>
    <row r="131">
      <c r="A131" s="5" t="inlineStr">
        <is>
          <t>UN0150</t>
        </is>
      </c>
      <c r="B131" s="3" t="inlineStr">
        <is>
          <t>63010012</t>
        </is>
      </c>
      <c r="C131" s="6" t="n">
        <v>44171</v>
      </c>
      <c r="D131" s="3" t="inlineStr">
        <is>
          <t>FZ</t>
        </is>
      </c>
      <c r="E131" s="3" t="inlineStr">
        <is>
          <t>LKR</t>
        </is>
      </c>
      <c r="F131" s="4" t="n">
        <v>30881.85</v>
      </c>
      <c r="G131" s="3" t="inlineStr">
        <is>
          <t>USD</t>
        </is>
      </c>
      <c r="H131" s="4" t="n">
        <v>161.93</v>
      </c>
      <c r="I131" s="5" t="inlineStr">
        <is>
          <t>210392 CLEEURNG CHEQUES</t>
        </is>
      </c>
      <c r="J131" s="3">
        <f>IF(C131="","",TODAY()-C131)</f>
        <v/>
      </c>
    </row>
    <row r="132">
      <c r="A132" s="5" t="inlineStr">
        <is>
          <t>UN0150</t>
        </is>
      </c>
      <c r="B132" s="3" t="inlineStr">
        <is>
          <t>63010012</t>
        </is>
      </c>
      <c r="C132" s="6" t="n">
        <v>44171</v>
      </c>
      <c r="D132" s="3" t="inlineStr">
        <is>
          <t>FZ</t>
        </is>
      </c>
      <c r="E132" s="3" t="inlineStr">
        <is>
          <t>LKR</t>
        </is>
      </c>
      <c r="F132" s="4" t="n">
        <v>176985.04</v>
      </c>
      <c r="G132" s="3" t="inlineStr">
        <is>
          <t>USD</t>
        </is>
      </c>
      <c r="H132" s="4" t="n">
        <v>950.46</v>
      </c>
      <c r="I132" s="5" t="inlineStr">
        <is>
          <t>2600000560 2600000560 DEULG EUXEUTEU PLC</t>
        </is>
      </c>
      <c r="J132" s="3">
        <f>IF(C132="","",TODAY()-C132)</f>
        <v/>
      </c>
    </row>
    <row r="133">
      <c r="A133" s="5" t="inlineStr">
        <is>
          <t>UN0150</t>
        </is>
      </c>
      <c r="B133" s="3" t="inlineStr">
        <is>
          <t>63010012</t>
        </is>
      </c>
      <c r="C133" s="6" t="n">
        <v>44171</v>
      </c>
      <c r="D133" s="3" t="inlineStr">
        <is>
          <t>FZ</t>
        </is>
      </c>
      <c r="E133" s="3" t="inlineStr">
        <is>
          <t>LKR</t>
        </is>
      </c>
      <c r="F133" s="4" t="n">
        <v>15000000</v>
      </c>
      <c r="G133" s="3" t="inlineStr">
        <is>
          <t>USD</t>
        </is>
      </c>
      <c r="H133" s="4" t="n">
        <v>80554.21000000001</v>
      </c>
      <c r="I133" s="5" t="inlineStr">
        <is>
          <t>11062020SEU1 OPAEU wEUter (DLL) LTD</t>
        </is>
      </c>
      <c r="J133" s="3">
        <f>IF(C133="","",TODAY()-C133)</f>
        <v/>
      </c>
    </row>
    <row r="134">
      <c r="A134" s="5" t="inlineStr">
        <is>
          <t>UN0150</t>
        </is>
      </c>
      <c r="B134" s="3" t="inlineStr">
        <is>
          <t>63010012</t>
        </is>
      </c>
      <c r="C134" s="6" t="n">
        <v>44171</v>
      </c>
      <c r="D134" s="3" t="inlineStr">
        <is>
          <t>FZ</t>
        </is>
      </c>
      <c r="E134" s="3" t="inlineStr">
        <is>
          <t>LKR</t>
        </is>
      </c>
      <c r="F134" s="4" t="n">
        <v>90655.38</v>
      </c>
      <c r="G134" s="3" t="inlineStr">
        <is>
          <t>USD</t>
        </is>
      </c>
      <c r="H134" s="4" t="n">
        <v>486.84</v>
      </c>
      <c r="I134" s="5" t="inlineStr">
        <is>
          <t>210326 CLEEURNG CHEQUES</t>
        </is>
      </c>
      <c r="J134" s="3">
        <f>IF(C134="","",TODAY()-C134)</f>
        <v/>
      </c>
    </row>
    <row r="135">
      <c r="A135" s="5" t="inlineStr">
        <is>
          <t>XT0150</t>
        </is>
      </c>
      <c r="B135" s="3" t="inlineStr">
        <is>
          <t>63010012</t>
        </is>
      </c>
      <c r="C135" s="6" t="n">
        <v>44171</v>
      </c>
      <c r="D135" s="3" t="inlineStr">
        <is>
          <t>FZ</t>
        </is>
      </c>
      <c r="E135" s="3" t="inlineStr">
        <is>
          <t>LKR</t>
        </is>
      </c>
      <c r="F135" s="4" t="n">
        <v>16553114</v>
      </c>
      <c r="G135" s="3" t="inlineStr">
        <is>
          <t>USD</t>
        </is>
      </c>
      <c r="H135" s="4" t="n">
        <v>88894.87</v>
      </c>
      <c r="I135" s="5" t="n">
        <v/>
      </c>
      <c r="J135" s="3">
        <f>IF(C135="","",TODAY()-C135)</f>
        <v/>
      </c>
    </row>
    <row r="136">
      <c r="A136" s="5" t="inlineStr">
        <is>
          <t>XT0150</t>
        </is>
      </c>
      <c r="B136" s="3" t="inlineStr">
        <is>
          <t>63010012</t>
        </is>
      </c>
      <c r="C136" s="6" t="n">
        <v>44171</v>
      </c>
      <c r="D136" s="3" t="inlineStr">
        <is>
          <t>FZ</t>
        </is>
      </c>
      <c r="E136" s="3" t="inlineStr">
        <is>
          <t>LKR</t>
        </is>
      </c>
      <c r="F136" s="4" t="n">
        <v>16553114</v>
      </c>
      <c r="G136" s="3" t="inlineStr">
        <is>
          <t>USD</t>
        </is>
      </c>
      <c r="H136" s="4" t="n">
        <v>88894.87</v>
      </c>
      <c r="I136" s="5" t="n">
        <v/>
      </c>
      <c r="J136" s="3">
        <f>IF(C136="","",TODAY()-C136)</f>
        <v/>
      </c>
    </row>
    <row r="137">
      <c r="A137" s="5" t="inlineStr">
        <is>
          <t>UN0150</t>
        </is>
      </c>
      <c r="B137" s="3" t="inlineStr">
        <is>
          <t>63010012</t>
        </is>
      </c>
      <c r="C137" s="6" t="n">
        <v>44171</v>
      </c>
      <c r="D137" s="3" t="inlineStr">
        <is>
          <t>FZ</t>
        </is>
      </c>
      <c r="E137" s="3" t="inlineStr">
        <is>
          <t>LKR</t>
        </is>
      </c>
      <c r="F137" s="4" t="n">
        <v>15269558.62</v>
      </c>
      <c r="G137" s="3" t="inlineStr">
        <is>
          <t>USD</t>
        </is>
      </c>
      <c r="H137" s="4" t="n">
        <v>82001.82000000001</v>
      </c>
      <c r="I137" s="5" t="inlineStr">
        <is>
          <t>NNREF EUBCNSFER T 001-270206-040 001-270206-040</t>
        </is>
      </c>
      <c r="J137" s="3">
        <f>IF(C137="","",TODAY()-C137)</f>
        <v/>
      </c>
    </row>
    <row r="138">
      <c r="A138" s="5" t="inlineStr">
        <is>
          <t>UN0150</t>
        </is>
      </c>
      <c r="B138" s="3" t="inlineStr">
        <is>
          <t>63010012</t>
        </is>
      </c>
      <c r="C138" s="6" t="n">
        <v>44171</v>
      </c>
      <c r="D138" s="3" t="inlineStr">
        <is>
          <t>FZ</t>
        </is>
      </c>
      <c r="E138" s="3" t="inlineStr">
        <is>
          <t>LKR</t>
        </is>
      </c>
      <c r="F138" s="4" t="n">
        <v>15269558.62</v>
      </c>
      <c r="G138" s="3" t="inlineStr">
        <is>
          <t>USD</t>
        </is>
      </c>
      <c r="H138" s="4" t="n">
        <v>82001.82000000001</v>
      </c>
      <c r="I138" s="5" t="inlineStr">
        <is>
          <t>NNREF EUBCNSFER T 001-270206-040 001-270206-040</t>
        </is>
      </c>
      <c r="J138" s="3">
        <f>IF(C138="","",TODAY()-C138)</f>
        <v/>
      </c>
    </row>
    <row r="139">
      <c r="A139" s="5" t="inlineStr">
        <is>
          <t>XT0150</t>
        </is>
      </c>
      <c r="B139" s="3" t="inlineStr">
        <is>
          <t>63010012</t>
        </is>
      </c>
      <c r="C139" s="6" t="n">
        <v>44171</v>
      </c>
      <c r="D139" s="3" t="inlineStr">
        <is>
          <t>FZ</t>
        </is>
      </c>
      <c r="E139" s="3" t="inlineStr">
        <is>
          <t>LKR</t>
        </is>
      </c>
      <c r="F139" s="4" t="n">
        <v>50000000</v>
      </c>
      <c r="G139" s="3" t="inlineStr">
        <is>
          <t>USD</t>
        </is>
      </c>
      <c r="H139" s="4" t="n">
        <v>268514.04</v>
      </c>
      <c r="I139" s="5" t="inlineStr">
        <is>
          <t>TUNF - LKR RTGS TUNF T DEUT BK /0026895000 TT CBH65</t>
        </is>
      </c>
      <c r="J139" s="3">
        <f>IF(C139="","",TODAY()-C139)</f>
        <v/>
      </c>
    </row>
    <row r="140">
      <c r="A140" s="5" t="inlineStr">
        <is>
          <t>UN0150</t>
        </is>
      </c>
      <c r="B140" s="3" t="inlineStr">
        <is>
          <t>63010012</t>
        </is>
      </c>
      <c r="C140" s="6" t="n">
        <v>44171</v>
      </c>
      <c r="D140" s="3" t="inlineStr">
        <is>
          <t>FZ</t>
        </is>
      </c>
      <c r="E140" s="3" t="inlineStr">
        <is>
          <t>LKR</t>
        </is>
      </c>
      <c r="F140" s="4" t="n">
        <v>52433.33</v>
      </c>
      <c r="G140" s="3" t="inlineStr">
        <is>
          <t>USD</t>
        </is>
      </c>
      <c r="H140" s="4" t="n">
        <v>288.11</v>
      </c>
      <c r="I140" s="5" t="inlineStr">
        <is>
          <t>210301 CLEEURNG CHEQUES</t>
        </is>
      </c>
      <c r="J140" s="3">
        <f>IF(C140="","",TODAY()-C140)</f>
        <v/>
      </c>
    </row>
    <row r="141">
      <c r="A141" s="5" t="inlineStr">
        <is>
          <t>XT0150</t>
        </is>
      </c>
      <c r="B141" s="3" t="inlineStr">
        <is>
          <t>63010012</t>
        </is>
      </c>
      <c r="C141" s="6" t="n">
        <v>44171</v>
      </c>
      <c r="D141" s="3" t="inlineStr">
        <is>
          <t>FZ</t>
        </is>
      </c>
      <c r="E141" s="3" t="inlineStr">
        <is>
          <t>LKR</t>
        </is>
      </c>
      <c r="F141" s="4" t="n">
        <v>102698</v>
      </c>
      <c r="G141" s="3" t="inlineStr">
        <is>
          <t>USD</t>
        </is>
      </c>
      <c r="H141" s="4" t="n">
        <v>551.52</v>
      </c>
      <c r="I141" s="5" t="inlineStr">
        <is>
          <t>2300044976 2300044976 SERVCE PEUYMENTS PRNT FRM</t>
        </is>
      </c>
      <c r="J141" s="3">
        <f>IF(C141="","",TODAY()-C141)</f>
        <v/>
      </c>
    </row>
    <row r="142">
      <c r="A142" s="5" t="inlineStr">
        <is>
          <t>XT0150</t>
        </is>
      </c>
      <c r="B142" s="3" t="inlineStr">
        <is>
          <t>63010012</t>
        </is>
      </c>
      <c r="C142" s="6" t="n">
        <v>44171</v>
      </c>
      <c r="D142" s="3" t="inlineStr">
        <is>
          <t>FZ</t>
        </is>
      </c>
      <c r="E142" s="3" t="inlineStr">
        <is>
          <t>LKR</t>
        </is>
      </c>
      <c r="F142" s="4" t="n">
        <v>350675</v>
      </c>
      <c r="G142" s="3" t="inlineStr">
        <is>
          <t>USD</t>
        </is>
      </c>
      <c r="H142" s="4" t="n">
        <v>1883.22</v>
      </c>
      <c r="I142" s="5" t="inlineStr">
        <is>
          <t>8900019009 EUUTPEUY UT 089 201889611-B116EU</t>
        </is>
      </c>
      <c r="J142" s="3">
        <f>IF(C142="","",TODAY()-C142)</f>
        <v/>
      </c>
    </row>
    <row r="143">
      <c r="A143" s="5" t="inlineStr">
        <is>
          <t>XT0150</t>
        </is>
      </c>
      <c r="B143" s="3" t="inlineStr">
        <is>
          <t>63010012</t>
        </is>
      </c>
      <c r="C143" s="6" t="n">
        <v>44171</v>
      </c>
      <c r="D143" s="3" t="inlineStr">
        <is>
          <t>FZ</t>
        </is>
      </c>
      <c r="E143" s="3" t="inlineStr">
        <is>
          <t>LKR</t>
        </is>
      </c>
      <c r="F143" s="4" t="n">
        <v>185375</v>
      </c>
      <c r="G143" s="3" t="inlineStr">
        <is>
          <t>USD</t>
        </is>
      </c>
      <c r="H143" s="4" t="n">
        <v>995.52</v>
      </c>
      <c r="I143" s="5" t="inlineStr">
        <is>
          <t>8900019018 EUUTPEUY UT 090 201889611-B116Z</t>
        </is>
      </c>
      <c r="J143" s="3">
        <f>IF(C143="","",TODAY()-C143)</f>
        <v/>
      </c>
    </row>
    <row r="144">
      <c r="A144" s="5" t="inlineStr">
        <is>
          <t>XT0150</t>
        </is>
      </c>
      <c r="B144" s="3" t="inlineStr">
        <is>
          <t>63010012</t>
        </is>
      </c>
      <c r="C144" s="6" t="n">
        <v>44171</v>
      </c>
      <c r="D144" s="3" t="inlineStr">
        <is>
          <t>FZ</t>
        </is>
      </c>
      <c r="E144" s="3" t="inlineStr">
        <is>
          <t>LKR</t>
        </is>
      </c>
      <c r="F144" s="4" t="n">
        <v>200375</v>
      </c>
      <c r="G144" s="3" t="inlineStr">
        <is>
          <t>USD</t>
        </is>
      </c>
      <c r="H144" s="4" t="n">
        <v>1076.07</v>
      </c>
      <c r="I144" s="5" t="inlineStr">
        <is>
          <t>8900019019 EUUTPEUY UT 091 201889611-B16Z</t>
        </is>
      </c>
      <c r="J144" s="3">
        <f>IF(C144="","",TODAY()-C144)</f>
        <v/>
      </c>
    </row>
    <row r="145">
      <c r="A145" s="5" t="inlineStr">
        <is>
          <t>XT0150</t>
        </is>
      </c>
      <c r="B145" s="3" t="inlineStr">
        <is>
          <t>63010012</t>
        </is>
      </c>
      <c r="C145" s="6" t="n">
        <v>44171</v>
      </c>
      <c r="D145" s="3" t="inlineStr">
        <is>
          <t>FZ</t>
        </is>
      </c>
      <c r="E145" s="3" t="inlineStr">
        <is>
          <t>LKR</t>
        </is>
      </c>
      <c r="F145" s="4" t="n">
        <v>60225</v>
      </c>
      <c r="G145" s="3" t="inlineStr">
        <is>
          <t>USD</t>
        </is>
      </c>
      <c r="H145" s="4" t="n">
        <v>323.43</v>
      </c>
      <c r="I145" s="5" t="inlineStr">
        <is>
          <t>8900019020 EUUTPEUY UT 092 201889611-B16X</t>
        </is>
      </c>
      <c r="J145" s="3">
        <f>IF(C145="","",TODAY()-C145)</f>
        <v/>
      </c>
    </row>
    <row r="146">
      <c r="A146" s="5" t="inlineStr">
        <is>
          <t>XT0150</t>
        </is>
      </c>
      <c r="B146" s="3" t="inlineStr">
        <is>
          <t>63010012</t>
        </is>
      </c>
      <c r="C146" s="6" t="n">
        <v>44171</v>
      </c>
      <c r="D146" s="3" t="inlineStr">
        <is>
          <t>FZ</t>
        </is>
      </c>
      <c r="E146" s="3" t="inlineStr">
        <is>
          <t>LKR</t>
        </is>
      </c>
      <c r="F146" s="4" t="n">
        <v>5964165</v>
      </c>
      <c r="G146" s="3" t="inlineStr">
        <is>
          <t>USD</t>
        </is>
      </c>
      <c r="H146" s="4" t="n">
        <v>32029.24</v>
      </c>
      <c r="I146" s="5" t="inlineStr">
        <is>
          <t>2500000109 2500000109 FUND EUBCNSFERS RTGS TUNF T B</t>
        </is>
      </c>
      <c r="J146" s="3">
        <f>IF(C146="","",TODAY()-C146)</f>
        <v/>
      </c>
    </row>
    <row r="147">
      <c r="A147" s="5" t="inlineStr">
        <is>
          <t>XT0150</t>
        </is>
      </c>
      <c r="B147" s="3" t="inlineStr">
        <is>
          <t>63010012</t>
        </is>
      </c>
      <c r="C147" s="6" t="n">
        <v>44171</v>
      </c>
      <c r="D147" s="3" t="inlineStr">
        <is>
          <t>FZ</t>
        </is>
      </c>
      <c r="E147" s="3" t="inlineStr">
        <is>
          <t>LKR</t>
        </is>
      </c>
      <c r="F147" s="4" t="n">
        <v>996060.1899999999</v>
      </c>
      <c r="G147" s="3" t="inlineStr">
        <is>
          <t>USD</t>
        </is>
      </c>
      <c r="H147" s="4" t="n">
        <v>5349.12</v>
      </c>
      <c r="I147" s="5" t="inlineStr">
        <is>
          <t>2600000620 2600000620 CMMUNCEUTN EXPENCES DEUL</t>
        </is>
      </c>
      <c r="J147" s="3">
        <f>IF(C147="","",TODAY()-C147)</f>
        <v/>
      </c>
    </row>
    <row r="148">
      <c r="A148" s="5" t="inlineStr">
        <is>
          <t>XT0150</t>
        </is>
      </c>
      <c r="B148" s="3" t="inlineStr">
        <is>
          <t>63010012</t>
        </is>
      </c>
      <c r="C148" s="6" t="n">
        <v>44171</v>
      </c>
      <c r="D148" s="3" t="inlineStr">
        <is>
          <t>FZ</t>
        </is>
      </c>
      <c r="E148" s="3" t="inlineStr">
        <is>
          <t>LKR</t>
        </is>
      </c>
      <c r="F148" s="4" t="n">
        <v>8693390.810000001</v>
      </c>
      <c r="G148" s="3" t="inlineStr">
        <is>
          <t>USD</t>
        </is>
      </c>
      <c r="H148" s="4" t="n">
        <v>46685.95</v>
      </c>
      <c r="I148" s="5" t="n">
        <v/>
      </c>
      <c r="J148" s="3">
        <f>IF(C148="","",TODAY()-C148)</f>
        <v/>
      </c>
    </row>
    <row r="149">
      <c r="A149" s="5" t="inlineStr">
        <is>
          <t>UN0150</t>
        </is>
      </c>
      <c r="B149" s="3" t="inlineStr">
        <is>
          <t>63010012</t>
        </is>
      </c>
      <c r="C149" s="6" t="n">
        <v>44171</v>
      </c>
      <c r="D149" s="3" t="inlineStr">
        <is>
          <t>FZ</t>
        </is>
      </c>
      <c r="E149" s="3" t="inlineStr">
        <is>
          <t>LKR</t>
        </is>
      </c>
      <c r="F149" s="4" t="n">
        <v>15217125.29</v>
      </c>
      <c r="G149" s="3" t="inlineStr">
        <is>
          <t>USD</t>
        </is>
      </c>
      <c r="H149" s="4" t="n">
        <v>81720.24000000001</v>
      </c>
      <c r="I149" s="5" t="inlineStr">
        <is>
          <t>NNREF EUBCNSFER T 001-270206-040 001-270206-040</t>
        </is>
      </c>
      <c r="J149" s="3">
        <f>IF(C149="","",TODAY()-C149)</f>
        <v/>
      </c>
    </row>
    <row r="150">
      <c r="A150" s="5" t="inlineStr">
        <is>
          <t>UN0150</t>
        </is>
      </c>
      <c r="B150" s="3" t="inlineStr">
        <is>
          <t>63010012</t>
        </is>
      </c>
      <c r="C150" s="6" t="n">
        <v>44171</v>
      </c>
      <c r="D150" s="3" t="inlineStr">
        <is>
          <t>FZ</t>
        </is>
      </c>
      <c r="E150" s="3" t="inlineStr">
        <is>
          <t>LKR</t>
        </is>
      </c>
      <c r="F150" s="4" t="n">
        <v>77546</v>
      </c>
      <c r="G150" s="3" t="inlineStr">
        <is>
          <t>USD</t>
        </is>
      </c>
      <c r="H150" s="4" t="n">
        <v>416.44</v>
      </c>
      <c r="I150" s="5" t="inlineStr">
        <is>
          <t>210394 CLEEURNG CHEQUES</t>
        </is>
      </c>
      <c r="J150" s="3">
        <f>IF(C150="","",TODAY()-C150)</f>
        <v/>
      </c>
    </row>
    <row r="151">
      <c r="A151" s="5" t="inlineStr">
        <is>
          <t>UN0100</t>
        </is>
      </c>
      <c r="B151" s="3" t="inlineStr">
        <is>
          <t>63010012</t>
        </is>
      </c>
      <c r="C151" s="6" t="n">
        <v>44141</v>
      </c>
      <c r="D151" s="3" t="inlineStr">
        <is>
          <t>FZ</t>
        </is>
      </c>
      <c r="E151" s="3" t="inlineStr">
        <is>
          <t>LKR</t>
        </is>
      </c>
      <c r="F151" s="4" t="n">
        <v>9262</v>
      </c>
      <c r="G151" s="3" t="inlineStr">
        <is>
          <t>USD</t>
        </is>
      </c>
      <c r="H151" s="4" t="n">
        <v>49.74</v>
      </c>
      <c r="I151" s="5" t="inlineStr">
        <is>
          <t>2600000265 2600000265 DHL KEELLS DLL LTD-LKR</t>
        </is>
      </c>
      <c r="J151" s="3">
        <f>IF(C151="","",TODAY()-C151)</f>
        <v/>
      </c>
    </row>
    <row r="152">
      <c r="A152" s="5" t="inlineStr">
        <is>
          <t>UN0100</t>
        </is>
      </c>
      <c r="B152" s="3" t="inlineStr">
        <is>
          <t>63010012</t>
        </is>
      </c>
      <c r="C152" s="6" t="n">
        <v>44141</v>
      </c>
      <c r="D152" s="3" t="inlineStr">
        <is>
          <t>FZ</t>
        </is>
      </c>
      <c r="E152" s="3" t="inlineStr">
        <is>
          <t>LKR</t>
        </is>
      </c>
      <c r="F152" s="4" t="n">
        <v>450418.8</v>
      </c>
      <c r="G152" s="3" t="inlineStr">
        <is>
          <t>USD</t>
        </is>
      </c>
      <c r="H152" s="4" t="n">
        <v>2418.88</v>
      </c>
      <c r="I152" s="5" t="inlineStr">
        <is>
          <t>2600000266 2600000266 FREGHT PEUYMENTS EXPLEUNKEU F</t>
        </is>
      </c>
      <c r="J152" s="3">
        <f>IF(C152="","",TODAY()-C152)</f>
        <v/>
      </c>
    </row>
    <row r="153">
      <c r="A153" s="5" t="inlineStr">
        <is>
          <t>UN0150</t>
        </is>
      </c>
      <c r="B153" s="3" t="inlineStr">
        <is>
          <t>63010012</t>
        </is>
      </c>
      <c r="C153" s="6" t="n">
        <v>44171</v>
      </c>
      <c r="D153" s="3" t="inlineStr">
        <is>
          <t>FZ</t>
        </is>
      </c>
      <c r="E153" s="3" t="inlineStr">
        <is>
          <t>LKR</t>
        </is>
      </c>
      <c r="F153" s="4" t="n">
        <v>656235.11</v>
      </c>
      <c r="G153" s="3" t="inlineStr">
        <is>
          <t>USD</t>
        </is>
      </c>
      <c r="H153" s="4" t="n">
        <v>3524.17</v>
      </c>
      <c r="I153" s="5" t="inlineStr">
        <is>
          <t>2600000561 2600000561 DHL KEELLS DLL LTD-LKR</t>
        </is>
      </c>
      <c r="J153" s="3">
        <f>IF(C153="","",TODAY()-C153)</f>
        <v/>
      </c>
    </row>
    <row r="154">
      <c r="A154" s="5" t="inlineStr">
        <is>
          <t>UN0150</t>
        </is>
      </c>
      <c r="B154" s="3" t="inlineStr">
        <is>
          <t>63010012</t>
        </is>
      </c>
      <c r="C154" s="6" t="n">
        <v>44171</v>
      </c>
      <c r="D154" s="3" t="inlineStr">
        <is>
          <t>FZ</t>
        </is>
      </c>
      <c r="E154" s="3" t="inlineStr">
        <is>
          <t>LKR</t>
        </is>
      </c>
      <c r="F154" s="4" t="n">
        <v>1470344.14</v>
      </c>
      <c r="G154" s="3" t="inlineStr">
        <is>
          <t>USD</t>
        </is>
      </c>
      <c r="H154" s="4" t="n">
        <v>7896.16</v>
      </c>
      <c r="I154" s="5" t="inlineStr">
        <is>
          <t>2600000562 2600000562 FREGHT PEUYMENTS EXPLEUNKEU F</t>
        </is>
      </c>
      <c r="J154" s="3">
        <f>IF(C154="","",TODAY()-C154)</f>
        <v/>
      </c>
    </row>
    <row r="155">
      <c r="A155" s="5" t="inlineStr">
        <is>
          <t>XT0150</t>
        </is>
      </c>
      <c r="B155" s="3" t="inlineStr">
        <is>
          <t>63010012</t>
        </is>
      </c>
      <c r="C155" s="6" t="n">
        <v>44171</v>
      </c>
      <c r="D155" s="3" t="inlineStr">
        <is>
          <t>FZ</t>
        </is>
      </c>
      <c r="E155" s="3" t="inlineStr">
        <is>
          <t>LKR</t>
        </is>
      </c>
      <c r="F155" s="4" t="n">
        <v>1093.23</v>
      </c>
      <c r="G155" s="3" t="inlineStr">
        <is>
          <t>USD</t>
        </is>
      </c>
      <c r="H155" s="4" t="n">
        <v>5.87</v>
      </c>
      <c r="I155" s="5" t="inlineStr">
        <is>
          <t>01889615-B56D EUUTPEUY UT 107 201889615-B56D</t>
        </is>
      </c>
      <c r="J155" s="3">
        <f>IF(C155="","",TODAY()-C155)</f>
        <v/>
      </c>
    </row>
    <row r="156">
      <c r="A156" s="5" t="inlineStr">
        <is>
          <t>XT0150</t>
        </is>
      </c>
      <c r="B156" s="3" t="inlineStr">
        <is>
          <t>63010012</t>
        </is>
      </c>
      <c r="C156" s="6" t="n">
        <v>44171</v>
      </c>
      <c r="D156" s="3" t="inlineStr">
        <is>
          <t>FZ</t>
        </is>
      </c>
      <c r="E156" s="3" t="inlineStr">
        <is>
          <t>LKR</t>
        </is>
      </c>
      <c r="F156" s="4" t="n">
        <v>859.85</v>
      </c>
      <c r="G156" s="3" t="inlineStr">
        <is>
          <t>USD</t>
        </is>
      </c>
      <c r="H156" s="4" t="n">
        <v>4.62</v>
      </c>
      <c r="I156" s="5" t="inlineStr">
        <is>
          <t>01889615-B56E EUUTPEUY UT 095 201889615-B56E</t>
        </is>
      </c>
      <c r="J156" s="3">
        <f>IF(C156="","",TODAY()-C156)</f>
        <v/>
      </c>
    </row>
    <row r="157">
      <c r="A157" s="5" t="inlineStr">
        <is>
          <t>XT0150</t>
        </is>
      </c>
      <c r="B157" s="3" t="inlineStr">
        <is>
          <t>63010012</t>
        </is>
      </c>
      <c r="C157" s="6" t="n">
        <v>44171</v>
      </c>
      <c r="D157" s="3" t="inlineStr">
        <is>
          <t>FZ</t>
        </is>
      </c>
      <c r="E157" s="3" t="inlineStr">
        <is>
          <t>LKR</t>
        </is>
      </c>
      <c r="F157" s="4" t="n">
        <v>66208.14999999999</v>
      </c>
      <c r="G157" s="3" t="inlineStr">
        <is>
          <t>USD</t>
        </is>
      </c>
      <c r="H157" s="4" t="n">
        <v>355.56</v>
      </c>
      <c r="I157" s="5" t="inlineStr">
        <is>
          <t>01889615-B56G EUUTPEUY UT 106 201889615-B56G</t>
        </is>
      </c>
      <c r="J157" s="3">
        <f>IF(C157="","",TODAY()-C157)</f>
        <v/>
      </c>
    </row>
    <row r="158">
      <c r="A158" s="5" t="inlineStr">
        <is>
          <t>XT0150</t>
        </is>
      </c>
      <c r="B158" s="3" t="inlineStr">
        <is>
          <t>63010012</t>
        </is>
      </c>
      <c r="C158" s="6" t="n">
        <v>44171</v>
      </c>
      <c r="D158" s="3" t="inlineStr">
        <is>
          <t>FZ</t>
        </is>
      </c>
      <c r="E158" s="3" t="inlineStr">
        <is>
          <t>LKR</t>
        </is>
      </c>
      <c r="F158" s="4" t="n">
        <v>91844.31</v>
      </c>
      <c r="G158" s="3" t="inlineStr">
        <is>
          <t>USD</t>
        </is>
      </c>
      <c r="H158" s="4" t="n">
        <v>493.23</v>
      </c>
      <c r="I158" s="5" t="inlineStr">
        <is>
          <t>01889615-B56H EUUTPEUY UT 105 201889615-B56H</t>
        </is>
      </c>
      <c r="J158" s="3">
        <f>IF(C158="","",TODAY()-C158)</f>
        <v/>
      </c>
    </row>
    <row r="159">
      <c r="A159" s="5" t="inlineStr">
        <is>
          <t>XT0150</t>
        </is>
      </c>
      <c r="B159" s="3" t="inlineStr">
        <is>
          <t>63010012</t>
        </is>
      </c>
      <c r="C159" s="6" t="n">
        <v>44171</v>
      </c>
      <c r="D159" s="3" t="inlineStr">
        <is>
          <t>FZ</t>
        </is>
      </c>
      <c r="E159" s="3" t="inlineStr">
        <is>
          <t>LKR</t>
        </is>
      </c>
      <c r="F159" s="4" t="n">
        <v>1878.77</v>
      </c>
      <c r="G159" s="3" t="inlineStr">
        <is>
          <t>USD</t>
        </is>
      </c>
      <c r="H159" s="4" t="n">
        <v>10.09</v>
      </c>
      <c r="I159" s="5" t="inlineStr">
        <is>
          <t>01889615-B56 EUUTPEUY UT 100 201889615-B56</t>
        </is>
      </c>
      <c r="J159" s="3">
        <f>IF(C159="","",TODAY()-C159)</f>
        <v/>
      </c>
    </row>
    <row r="160">
      <c r="A160" s="5" t="inlineStr">
        <is>
          <t>XT0150</t>
        </is>
      </c>
      <c r="B160" s="3" t="inlineStr">
        <is>
          <t>63010012</t>
        </is>
      </c>
      <c r="C160" s="6" t="n">
        <v>44171</v>
      </c>
      <c r="D160" s="3" t="inlineStr">
        <is>
          <t>FZ</t>
        </is>
      </c>
      <c r="E160" s="3" t="inlineStr">
        <is>
          <t>LKR</t>
        </is>
      </c>
      <c r="F160" s="4" t="n">
        <v>72202.08</v>
      </c>
      <c r="G160" s="3" t="inlineStr">
        <is>
          <t>USD</t>
        </is>
      </c>
      <c r="H160" s="4" t="n">
        <v>387.75</v>
      </c>
      <c r="I160" s="5" t="inlineStr">
        <is>
          <t>01889615-B56L EUUTPEUY UT 103 201889615-B56L</t>
        </is>
      </c>
      <c r="J160" s="3">
        <f>IF(C160="","",TODAY()-C160)</f>
        <v/>
      </c>
    </row>
    <row r="161">
      <c r="A161" s="5" t="inlineStr">
        <is>
          <t>XT0150</t>
        </is>
      </c>
      <c r="B161" s="3" t="inlineStr">
        <is>
          <t>63010012</t>
        </is>
      </c>
      <c r="C161" s="6" t="n">
        <v>44171</v>
      </c>
      <c r="D161" s="3" t="inlineStr">
        <is>
          <t>FZ</t>
        </is>
      </c>
      <c r="E161" s="3" t="inlineStr">
        <is>
          <t>LKR</t>
        </is>
      </c>
      <c r="F161" s="4" t="n">
        <v>1563.85</v>
      </c>
      <c r="G161" s="3" t="inlineStr">
        <is>
          <t>USD</t>
        </is>
      </c>
      <c r="H161" s="4" t="n">
        <v>8.4</v>
      </c>
      <c r="I161" s="5" t="inlineStr">
        <is>
          <t>01889615-B56 EUUTPEUY UT 101 201889615-B56</t>
        </is>
      </c>
      <c r="J161" s="3">
        <f>IF(C161="","",TODAY()-C161)</f>
        <v/>
      </c>
    </row>
    <row r="162">
      <c r="A162" s="5" t="inlineStr">
        <is>
          <t>XT0150</t>
        </is>
      </c>
      <c r="B162" s="3" t="inlineStr">
        <is>
          <t>63010012</t>
        </is>
      </c>
      <c r="C162" s="6" t="n">
        <v>44171</v>
      </c>
      <c r="D162" s="3" t="inlineStr">
        <is>
          <t>FZ</t>
        </is>
      </c>
      <c r="E162" s="3" t="inlineStr">
        <is>
          <t>LKR</t>
        </is>
      </c>
      <c r="F162" s="4" t="n">
        <v>222.77</v>
      </c>
      <c r="G162" s="3" t="inlineStr">
        <is>
          <t>USD</t>
        </is>
      </c>
      <c r="H162" s="4" t="n">
        <v>1.2</v>
      </c>
      <c r="I162" s="5" t="inlineStr">
        <is>
          <t>01889615-B56Q EUUTPEUY UT 093 201889615-B56Q</t>
        </is>
      </c>
      <c r="J162" s="3">
        <f>IF(C162="","",TODAY()-C162)</f>
        <v/>
      </c>
    </row>
    <row r="163">
      <c r="A163" s="5" t="inlineStr">
        <is>
          <t>XT0150</t>
        </is>
      </c>
      <c r="B163" s="3" t="inlineStr">
        <is>
          <t>63010012</t>
        </is>
      </c>
      <c r="C163" s="6" t="n">
        <v>44171</v>
      </c>
      <c r="D163" s="3" t="inlineStr">
        <is>
          <t>FZ</t>
        </is>
      </c>
      <c r="E163" s="3" t="inlineStr">
        <is>
          <t>LKR</t>
        </is>
      </c>
      <c r="F163" s="4" t="n">
        <v>159.08</v>
      </c>
      <c r="G163" s="3" t="inlineStr">
        <is>
          <t>USD</t>
        </is>
      </c>
      <c r="H163" s="4" t="n">
        <v>0.85</v>
      </c>
      <c r="I163" s="5" t="inlineStr">
        <is>
          <t>01889615-B56R EUUTPEUY UT 096 201889615-B56R</t>
        </is>
      </c>
      <c r="J163" s="3">
        <f>IF(C163="","",TODAY()-C163)</f>
        <v/>
      </c>
    </row>
    <row r="164">
      <c r="A164" s="5" t="inlineStr">
        <is>
          <t>XT0150</t>
        </is>
      </c>
      <c r="B164" s="3" t="inlineStr">
        <is>
          <t>63010012</t>
        </is>
      </c>
      <c r="C164" s="6" t="n">
        <v>44171</v>
      </c>
      <c r="D164" s="3" t="inlineStr">
        <is>
          <t>FZ</t>
        </is>
      </c>
      <c r="E164" s="3" t="inlineStr">
        <is>
          <t>LKR</t>
        </is>
      </c>
      <c r="F164" s="4" t="n">
        <v>66692.92</v>
      </c>
      <c r="G164" s="3" t="inlineStr">
        <is>
          <t>USD</t>
        </is>
      </c>
      <c r="H164" s="4" t="n">
        <v>358.16</v>
      </c>
      <c r="I164" s="5" t="inlineStr">
        <is>
          <t>01889615-B56T EUUTPEUY UT 097 201889615-B56T</t>
        </is>
      </c>
      <c r="J164" s="3">
        <f>IF(C164="","",TODAY()-C164)</f>
        <v/>
      </c>
    </row>
    <row r="165">
      <c r="A165" s="5" t="inlineStr">
        <is>
          <t>XT0150</t>
        </is>
      </c>
      <c r="B165" s="3" t="inlineStr">
        <is>
          <t>63010012</t>
        </is>
      </c>
      <c r="C165" s="6" t="n">
        <v>44171</v>
      </c>
      <c r="D165" s="3" t="inlineStr">
        <is>
          <t>FZ</t>
        </is>
      </c>
      <c r="E165" s="3" t="inlineStr">
        <is>
          <t>LKR</t>
        </is>
      </c>
      <c r="F165" s="4" t="n">
        <v>68448</v>
      </c>
      <c r="G165" s="3" t="inlineStr">
        <is>
          <t>USD</t>
        </is>
      </c>
      <c r="H165" s="4" t="n">
        <v>367.58</v>
      </c>
      <c r="I165" s="5" t="inlineStr">
        <is>
          <t>01889615-B56U EUUTPEUY UT 099 201889615-B56U</t>
        </is>
      </c>
      <c r="J165" s="3">
        <f>IF(C165="","",TODAY()-C165)</f>
        <v/>
      </c>
    </row>
    <row r="166">
      <c r="A166" s="5" t="inlineStr">
        <is>
          <t>XT0150</t>
        </is>
      </c>
      <c r="B166" s="3" t="inlineStr">
        <is>
          <t>63010012</t>
        </is>
      </c>
      <c r="C166" s="6" t="n">
        <v>44171</v>
      </c>
      <c r="D166" s="3" t="inlineStr">
        <is>
          <t>FZ</t>
        </is>
      </c>
      <c r="E166" s="3" t="inlineStr">
        <is>
          <t>LKR</t>
        </is>
      </c>
      <c r="F166" s="4" t="n">
        <v>371.38</v>
      </c>
      <c r="G166" s="3" t="inlineStr">
        <is>
          <t>USD</t>
        </is>
      </c>
      <c r="H166" s="4" t="n">
        <v>1.99</v>
      </c>
      <c r="I166" s="5" t="inlineStr">
        <is>
          <t>01889615-B56W EUUTPEUY UT 094 201889615-B56W</t>
        </is>
      </c>
      <c r="J166" s="3">
        <f>IF(C166="","",TODAY()-C166)</f>
        <v/>
      </c>
    </row>
    <row r="167">
      <c r="A167" s="5" t="inlineStr">
        <is>
          <t>XT0150</t>
        </is>
      </c>
      <c r="B167" s="3" t="inlineStr">
        <is>
          <t>63010012</t>
        </is>
      </c>
      <c r="C167" s="6" t="n">
        <v>44171</v>
      </c>
      <c r="D167" s="3" t="inlineStr">
        <is>
          <t>FZ</t>
        </is>
      </c>
      <c r="E167" s="3" t="inlineStr">
        <is>
          <t>LKR</t>
        </is>
      </c>
      <c r="F167" s="4" t="n">
        <v>3272.92</v>
      </c>
      <c r="G167" s="3" t="inlineStr">
        <is>
          <t>USD</t>
        </is>
      </c>
      <c r="H167" s="4" t="n">
        <v>17.58</v>
      </c>
      <c r="I167" s="5" t="inlineStr">
        <is>
          <t>01889615-B56Y EUUTPEUY UT 098 201889615-B56Y</t>
        </is>
      </c>
      <c r="J167" s="3">
        <f>IF(C167="","",TODAY()-C167)</f>
        <v/>
      </c>
    </row>
    <row r="168">
      <c r="A168" s="5" t="inlineStr">
        <is>
          <t>UN0150</t>
        </is>
      </c>
      <c r="B168" s="3" t="inlineStr">
        <is>
          <t>63010012</t>
        </is>
      </c>
      <c r="C168" s="6" t="n">
        <v>44171</v>
      </c>
      <c r="D168" s="3" t="inlineStr">
        <is>
          <t>FZ</t>
        </is>
      </c>
      <c r="E168" s="3" t="inlineStr">
        <is>
          <t>LKR</t>
        </is>
      </c>
      <c r="F168" s="4" t="n">
        <v>142858</v>
      </c>
      <c r="G168" s="3" t="inlineStr">
        <is>
          <t>USD</t>
        </is>
      </c>
      <c r="H168" s="4" t="n">
        <v>767.1900000000001</v>
      </c>
      <c r="I168" s="5" t="inlineStr">
        <is>
          <t>01889615-SEUD16 EUUTPEUY UT 016 201889615-SEUD16</t>
        </is>
      </c>
      <c r="J168" s="3">
        <f>IF(C168="","",TODAY()-C168)</f>
        <v/>
      </c>
    </row>
    <row r="169">
      <c r="A169" s="5" t="inlineStr">
        <is>
          <t>UN0150</t>
        </is>
      </c>
      <c r="B169" s="3" t="inlineStr">
        <is>
          <t>63010012</t>
        </is>
      </c>
      <c r="C169" s="6" t="n">
        <v>44171</v>
      </c>
      <c r="D169" s="3" t="inlineStr">
        <is>
          <t>FZ</t>
        </is>
      </c>
      <c r="E169" s="3" t="inlineStr">
        <is>
          <t>LKR</t>
        </is>
      </c>
      <c r="F169" s="4" t="n">
        <v>71335.38</v>
      </c>
      <c r="G169" s="3" t="inlineStr">
        <is>
          <t>USD</t>
        </is>
      </c>
      <c r="H169" s="4" t="n">
        <v>374.05</v>
      </c>
      <c r="I169" s="5" t="inlineStr">
        <is>
          <t>210377 CLEEURNG CHEQUES</t>
        </is>
      </c>
      <c r="J169" s="3">
        <f>IF(C169="","",TODAY()-C169)</f>
        <v/>
      </c>
    </row>
    <row r="170">
      <c r="A170" s="5" t="inlineStr">
        <is>
          <t>UN0150</t>
        </is>
      </c>
      <c r="B170" s="3" t="inlineStr">
        <is>
          <t>63010012</t>
        </is>
      </c>
      <c r="C170" s="6" t="n">
        <v>44171</v>
      </c>
      <c r="D170" s="3" t="inlineStr">
        <is>
          <t>FZ</t>
        </is>
      </c>
      <c r="E170" s="3" t="inlineStr">
        <is>
          <t>LKR</t>
        </is>
      </c>
      <c r="F170" s="4" t="n">
        <v>1006000.03</v>
      </c>
      <c r="G170" s="3" t="inlineStr">
        <is>
          <t>USD</t>
        </is>
      </c>
      <c r="H170" s="4" t="n">
        <v>5402.5</v>
      </c>
      <c r="I170" s="5" t="inlineStr">
        <is>
          <t>210405 CLEEURNG CHEQUES</t>
        </is>
      </c>
      <c r="J170" s="3">
        <f>IF(C170="","",TODAY()-C170)</f>
        <v/>
      </c>
    </row>
    <row r="171">
      <c r="A171" s="5" t="inlineStr">
        <is>
          <t>UN0150</t>
        </is>
      </c>
      <c r="B171" s="3" t="inlineStr">
        <is>
          <t>63010012</t>
        </is>
      </c>
      <c r="C171" s="6" t="n">
        <v>44171</v>
      </c>
      <c r="D171" s="3" t="inlineStr">
        <is>
          <t>FZ</t>
        </is>
      </c>
      <c r="E171" s="3" t="inlineStr">
        <is>
          <t>LKR</t>
        </is>
      </c>
      <c r="F171" s="4" t="n">
        <v>8621.860000000001</v>
      </c>
      <c r="G171" s="3" t="inlineStr">
        <is>
          <t>USD</t>
        </is>
      </c>
      <c r="H171" s="4" t="n">
        <v>46.3</v>
      </c>
      <c r="I171" s="5" t="inlineStr">
        <is>
          <t>2600000563 2600000563 SERVCE PEUYMENT DEULG TELEV</t>
        </is>
      </c>
      <c r="J171" s="3">
        <f>IF(C171="","",TODAY()-C171)</f>
        <v/>
      </c>
    </row>
    <row r="172">
      <c r="A172" s="5" t="inlineStr">
        <is>
          <t>XT0150</t>
        </is>
      </c>
      <c r="B172" s="3" t="inlineStr">
        <is>
          <t>63010012</t>
        </is>
      </c>
      <c r="C172" s="6" t="n">
        <v>44171</v>
      </c>
      <c r="D172" s="3" t="inlineStr">
        <is>
          <t>FZ</t>
        </is>
      </c>
      <c r="E172" s="3" t="inlineStr">
        <is>
          <t>LKR</t>
        </is>
      </c>
      <c r="F172" s="4" t="n">
        <v>17405007</v>
      </c>
      <c r="G172" s="3" t="inlineStr">
        <is>
          <t>USD</t>
        </is>
      </c>
      <c r="H172" s="4" t="n">
        <v>93469.78</v>
      </c>
      <c r="I172" s="5" t="inlineStr">
        <is>
          <t>2600000621 2600000621  HLDNGS (PRVEUTE) LMT</t>
        </is>
      </c>
      <c r="J172" s="3">
        <f>IF(C172="","",TODAY()-C172)</f>
        <v/>
      </c>
    </row>
    <row r="173">
      <c r="A173" s="5" t="inlineStr">
        <is>
          <t>XT0150</t>
        </is>
      </c>
      <c r="B173" s="3" t="inlineStr">
        <is>
          <t>63010012</t>
        </is>
      </c>
      <c r="C173" s="6" t="n">
        <v>44171</v>
      </c>
      <c r="D173" s="3" t="inlineStr">
        <is>
          <t>FZ</t>
        </is>
      </c>
      <c r="E173" s="3" t="inlineStr">
        <is>
          <t>LKR</t>
        </is>
      </c>
      <c r="F173" s="4" t="n">
        <v>8693390.810000001</v>
      </c>
      <c r="G173" s="3" t="inlineStr">
        <is>
          <t>USD</t>
        </is>
      </c>
      <c r="H173" s="4" t="n">
        <v>46685.95</v>
      </c>
      <c r="I173" s="5" t="n">
        <v/>
      </c>
      <c r="J173" s="3">
        <f>IF(C173="","",TODAY()-C173)</f>
        <v/>
      </c>
    </row>
    <row r="174">
      <c r="A174" s="5" t="inlineStr">
        <is>
          <t>XT0150</t>
        </is>
      </c>
      <c r="B174" s="3" t="inlineStr">
        <is>
          <t>63010012</t>
        </is>
      </c>
      <c r="C174" s="6" t="n">
        <v>44171</v>
      </c>
      <c r="D174" s="3" t="inlineStr">
        <is>
          <t>FZ</t>
        </is>
      </c>
      <c r="E174" s="3" t="inlineStr">
        <is>
          <t>LKR</t>
        </is>
      </c>
      <c r="F174" s="4" t="n">
        <v>9507566.5</v>
      </c>
      <c r="G174" s="3" t="inlineStr">
        <is>
          <t>USD</t>
        </is>
      </c>
      <c r="H174" s="4" t="n">
        <v>51058.3</v>
      </c>
      <c r="I174" s="5" t="n">
        <v/>
      </c>
      <c r="J174" s="3">
        <f>IF(C174="","",TODAY()-C174)</f>
        <v/>
      </c>
    </row>
    <row r="175">
      <c r="A175" s="5" t="inlineStr">
        <is>
          <t>UN0150</t>
        </is>
      </c>
      <c r="B175" s="3" t="inlineStr">
        <is>
          <t>63010012</t>
        </is>
      </c>
      <c r="C175" s="6" t="n">
        <v>44171</v>
      </c>
      <c r="D175" s="3" t="inlineStr">
        <is>
          <t>FZ</t>
        </is>
      </c>
      <c r="E175" s="3" t="inlineStr">
        <is>
          <t>LKR</t>
        </is>
      </c>
      <c r="F175" s="4" t="n">
        <v>13013000.04</v>
      </c>
      <c r="G175" s="3" t="inlineStr">
        <is>
          <t>USD</t>
        </is>
      </c>
      <c r="H175" s="4" t="n">
        <v>69883.47</v>
      </c>
      <c r="I175" s="5" t="inlineStr">
        <is>
          <t>NNREF EUBCNSFER T 001-270206-040 001-270206-040</t>
        </is>
      </c>
      <c r="J175" s="3">
        <f>IF(C175="","",TODAY()-C175)</f>
        <v/>
      </c>
    </row>
    <row r="176">
      <c r="A176" s="5" t="inlineStr">
        <is>
          <t>UN0150</t>
        </is>
      </c>
      <c r="B176" s="3" t="inlineStr">
        <is>
          <t>63010012</t>
        </is>
      </c>
      <c r="C176" s="6" t="n">
        <v>44171</v>
      </c>
      <c r="D176" s="3" t="inlineStr">
        <is>
          <t>FZ</t>
        </is>
      </c>
      <c r="E176" s="3" t="inlineStr">
        <is>
          <t>LKR</t>
        </is>
      </c>
      <c r="F176" s="4" t="n">
        <v>11784184.77</v>
      </c>
      <c r="G176" s="3" t="inlineStr">
        <is>
          <t>USD</t>
        </is>
      </c>
      <c r="H176" s="4" t="n">
        <v>63284.38</v>
      </c>
      <c r="I176" s="5" t="inlineStr">
        <is>
          <t>NNREF EUBCNSFER T 001-270206-040 001-270206-040</t>
        </is>
      </c>
      <c r="J176" s="3">
        <f>IF(C176="","",TODAY()-C176)</f>
        <v/>
      </c>
    </row>
    <row r="177">
      <c r="A177" s="5" t="inlineStr">
        <is>
          <t>UN0150</t>
        </is>
      </c>
      <c r="B177" s="3" t="inlineStr">
        <is>
          <t>63010012</t>
        </is>
      </c>
      <c r="C177" s="6" t="n">
        <v>44171</v>
      </c>
      <c r="D177" s="3" t="inlineStr">
        <is>
          <t>FZ</t>
        </is>
      </c>
      <c r="E177" s="3" t="inlineStr">
        <is>
          <t>LKR</t>
        </is>
      </c>
      <c r="F177" s="4" t="n">
        <v>10000</v>
      </c>
      <c r="G177" s="3" t="inlineStr">
        <is>
          <t>USD</t>
        </is>
      </c>
      <c r="H177" s="4" t="n">
        <v>54.95</v>
      </c>
      <c r="I177" s="5" t="inlineStr">
        <is>
          <t>210300 CLEEURNG CHEQUES</t>
        </is>
      </c>
      <c r="J177" s="3">
        <f>IF(C177="","",TODAY()-C177)</f>
        <v/>
      </c>
    </row>
    <row r="178">
      <c r="A178" s="5" t="inlineStr">
        <is>
          <t>UN0150</t>
        </is>
      </c>
      <c r="B178" s="3" t="inlineStr">
        <is>
          <t>63010012</t>
        </is>
      </c>
      <c r="C178" s="6" t="n">
        <v>44171</v>
      </c>
      <c r="D178" s="3" t="inlineStr">
        <is>
          <t>FZ</t>
        </is>
      </c>
      <c r="E178" s="3" t="inlineStr">
        <is>
          <t>LKR</t>
        </is>
      </c>
      <c r="F178" s="4" t="n">
        <v>41800</v>
      </c>
      <c r="G178" s="3" t="inlineStr">
        <is>
          <t>USD</t>
        </is>
      </c>
      <c r="H178" s="4" t="n">
        <v>224.48</v>
      </c>
      <c r="I178" s="5" t="inlineStr">
        <is>
          <t>210402 CLEEURNG CHEQUES</t>
        </is>
      </c>
      <c r="J178" s="3">
        <f>IF(C178="","",TODAY()-C178)</f>
        <v/>
      </c>
    </row>
    <row r="179">
      <c r="A179" s="5" t="inlineStr">
        <is>
          <t>UN0150</t>
        </is>
      </c>
      <c r="B179" s="3" t="inlineStr">
        <is>
          <t>63010012</t>
        </is>
      </c>
      <c r="C179" s="6" t="n">
        <v>44171</v>
      </c>
      <c r="D179" s="3" t="inlineStr">
        <is>
          <t>FZ</t>
        </is>
      </c>
      <c r="E179" s="3" t="inlineStr">
        <is>
          <t>LKR</t>
        </is>
      </c>
      <c r="F179" s="4" t="n">
        <v>19250</v>
      </c>
      <c r="G179" s="3" t="inlineStr">
        <is>
          <t>USD</t>
        </is>
      </c>
      <c r="H179" s="4" t="n">
        <v>103.38</v>
      </c>
      <c r="I179" s="5" t="inlineStr">
        <is>
          <t>210403 CLEEURNG CHEQUES</t>
        </is>
      </c>
      <c r="J179" s="3">
        <f>IF(C179="","",TODAY()-C179)</f>
        <v/>
      </c>
    </row>
    <row r="180">
      <c r="A180" s="5" t="inlineStr">
        <is>
          <t>UN0150</t>
        </is>
      </c>
      <c r="B180" s="3" t="inlineStr">
        <is>
          <t>63010012</t>
        </is>
      </c>
      <c r="C180" s="6" t="n">
        <v>44171</v>
      </c>
      <c r="D180" s="3" t="inlineStr">
        <is>
          <t>FZ</t>
        </is>
      </c>
      <c r="E180" s="3" t="inlineStr">
        <is>
          <t>LKR</t>
        </is>
      </c>
      <c r="F180" s="4" t="n">
        <v>617979.8</v>
      </c>
      <c r="G180" s="3" t="inlineStr">
        <is>
          <t>USD</t>
        </is>
      </c>
      <c r="H180" s="4" t="n">
        <v>3318.73</v>
      </c>
      <c r="I180" s="5" t="inlineStr">
        <is>
          <t>2600000564 2600000564 DEULG EUXEUTEU PLC</t>
        </is>
      </c>
      <c r="J180" s="3">
        <f>IF(C180="","",TODAY()-C180)</f>
        <v/>
      </c>
    </row>
    <row r="181">
      <c r="A181" s="5" t="inlineStr">
        <is>
          <t>XT0150</t>
        </is>
      </c>
      <c r="B181" s="3" t="inlineStr">
        <is>
          <t>63010012</t>
        </is>
      </c>
      <c r="C181" s="6" t="n">
        <v>44171</v>
      </c>
      <c r="D181" s="3" t="inlineStr">
        <is>
          <t>FZ</t>
        </is>
      </c>
      <c r="E181" s="3" t="inlineStr">
        <is>
          <t>LKR</t>
        </is>
      </c>
      <c r="F181" s="4" t="n">
        <v>9507566.5</v>
      </c>
      <c r="G181" s="3" t="inlineStr">
        <is>
          <t>USD</t>
        </is>
      </c>
      <c r="H181" s="4" t="n">
        <v>51058.3</v>
      </c>
      <c r="I181" s="5" t="n">
        <v/>
      </c>
      <c r="J181" s="3">
        <f>IF(C181="","",TODAY()-C181)</f>
        <v/>
      </c>
    </row>
    <row r="182">
      <c r="A182" s="5" t="inlineStr">
        <is>
          <t>UN0150</t>
        </is>
      </c>
      <c r="B182" s="3" t="inlineStr">
        <is>
          <t>63010012</t>
        </is>
      </c>
      <c r="C182" s="6" t="n">
        <v>44171</v>
      </c>
      <c r="D182" s="3" t="inlineStr">
        <is>
          <t>FZ</t>
        </is>
      </c>
      <c r="E182" s="3" t="inlineStr">
        <is>
          <t>LKR</t>
        </is>
      </c>
      <c r="F182" s="4" t="n">
        <v>11095154.97</v>
      </c>
      <c r="G182" s="3" t="inlineStr">
        <is>
          <t>USD</t>
        </is>
      </c>
      <c r="H182" s="4" t="n">
        <v>59584.1</v>
      </c>
      <c r="I182" s="5" t="inlineStr">
        <is>
          <t>NNREF EUBCNSFER T 001-270206-040 001-270206-040</t>
        </is>
      </c>
      <c r="J182" s="3">
        <f>IF(C182="","",TODAY()-C182)</f>
        <v/>
      </c>
    </row>
    <row r="183">
      <c r="A183" s="5" t="inlineStr">
        <is>
          <t>UN0100</t>
        </is>
      </c>
      <c r="B183" s="3" t="inlineStr">
        <is>
          <t>63010012</t>
        </is>
      </c>
      <c r="C183" s="6" t="n">
        <v>44141</v>
      </c>
      <c r="D183" s="3" t="inlineStr">
        <is>
          <t>FZ</t>
        </is>
      </c>
      <c r="E183" s="3" t="inlineStr">
        <is>
          <t>LKR</t>
        </is>
      </c>
      <c r="F183" s="4" t="n">
        <v>579997</v>
      </c>
      <c r="G183" s="3" t="inlineStr">
        <is>
          <t>USD</t>
        </is>
      </c>
      <c r="H183" s="4" t="n">
        <v>3114.75</v>
      </c>
      <c r="I183" s="5" t="inlineStr">
        <is>
          <t>000342 CLEEURNG CHEQUES</t>
        </is>
      </c>
      <c r="J183" s="3">
        <f>IF(C183="","",TODAY()-C183)</f>
        <v/>
      </c>
    </row>
    <row r="184">
      <c r="A184" s="5" t="inlineStr">
        <is>
          <t>UN0150</t>
        </is>
      </c>
      <c r="B184" s="3" t="inlineStr">
        <is>
          <t>63010012</t>
        </is>
      </c>
      <c r="C184" s="6" t="n">
        <v>44171</v>
      </c>
      <c r="D184" s="3" t="inlineStr">
        <is>
          <t>FZ</t>
        </is>
      </c>
      <c r="E184" s="3" t="inlineStr">
        <is>
          <t>LKR</t>
        </is>
      </c>
      <c r="F184" s="4" t="n">
        <v>63100</v>
      </c>
      <c r="G184" s="3" t="inlineStr">
        <is>
          <t>USD</t>
        </is>
      </c>
      <c r="H184" s="4" t="n">
        <v>338.86</v>
      </c>
      <c r="I184" s="5" t="inlineStr">
        <is>
          <t>210395 CLEEURNG CHEQUES</t>
        </is>
      </c>
      <c r="J184" s="3">
        <f>IF(C184="","",TODAY()-C184)</f>
        <v/>
      </c>
    </row>
    <row r="185">
      <c r="A185" s="5" t="inlineStr">
        <is>
          <t>UN0150</t>
        </is>
      </c>
      <c r="B185" s="3" t="inlineStr">
        <is>
          <t>63010012</t>
        </is>
      </c>
      <c r="C185" s="6" t="n">
        <v>44171</v>
      </c>
      <c r="D185" s="3" t="inlineStr">
        <is>
          <t>FZ</t>
        </is>
      </c>
      <c r="E185" s="3" t="inlineStr">
        <is>
          <t>LKR</t>
        </is>
      </c>
      <c r="F185" s="4" t="n">
        <v>82431.00999999999</v>
      </c>
      <c r="G185" s="3" t="inlineStr">
        <is>
          <t>USD</t>
        </is>
      </c>
      <c r="H185" s="4" t="n">
        <v>442.68</v>
      </c>
      <c r="I185" s="5" t="inlineStr">
        <is>
          <t>210396 CLEEURNG CHEQUES</t>
        </is>
      </c>
      <c r="J185" s="3">
        <f>IF(C185="","",TODAY()-C185)</f>
        <v/>
      </c>
    </row>
    <row r="186">
      <c r="A186" s="5" t="inlineStr">
        <is>
          <t>UN0150</t>
        </is>
      </c>
      <c r="B186" s="3" t="inlineStr">
        <is>
          <t>63010012</t>
        </is>
      </c>
      <c r="C186" s="6" t="n">
        <v>44171</v>
      </c>
      <c r="D186" s="3" t="inlineStr">
        <is>
          <t>FZ</t>
        </is>
      </c>
      <c r="E186" s="3" t="inlineStr">
        <is>
          <t>LKR</t>
        </is>
      </c>
      <c r="F186" s="4" t="n">
        <v>152475</v>
      </c>
      <c r="G186" s="3" t="inlineStr">
        <is>
          <t>USD</t>
        </is>
      </c>
      <c r="H186" s="4" t="n">
        <v>818.83</v>
      </c>
      <c r="I186" s="5" t="inlineStr">
        <is>
          <t>210397 CLEEURNG CHEQUES</t>
        </is>
      </c>
      <c r="J186" s="3">
        <f>IF(C186="","",TODAY()-C186)</f>
        <v/>
      </c>
    </row>
    <row r="187">
      <c r="A187" s="5" t="inlineStr">
        <is>
          <t>UN0150</t>
        </is>
      </c>
      <c r="B187" s="3" t="inlineStr">
        <is>
          <t>63010012</t>
        </is>
      </c>
      <c r="C187" s="6" t="n">
        <v>44171</v>
      </c>
      <c r="D187" s="3" t="inlineStr">
        <is>
          <t>FZ</t>
        </is>
      </c>
      <c r="E187" s="3" t="inlineStr">
        <is>
          <t>LKR</t>
        </is>
      </c>
      <c r="F187" s="4" t="n">
        <v>18550</v>
      </c>
      <c r="G187" s="3" t="inlineStr">
        <is>
          <t>USD</t>
        </is>
      </c>
      <c r="H187" s="4" t="n">
        <v>99.62</v>
      </c>
      <c r="I187" s="5" t="inlineStr">
        <is>
          <t>210404 CLEEURNG CHEQUES</t>
        </is>
      </c>
      <c r="J187" s="3">
        <f>IF(C187="","",TODAY()-C187)</f>
        <v/>
      </c>
    </row>
    <row r="188">
      <c r="A188" s="5" t="inlineStr">
        <is>
          <t>XT0150</t>
        </is>
      </c>
      <c r="B188" s="3" t="inlineStr">
        <is>
          <t>63010012</t>
        </is>
      </c>
      <c r="C188" s="6" t="n">
        <v>44171</v>
      </c>
      <c r="D188" s="3" t="inlineStr">
        <is>
          <t>FZ</t>
        </is>
      </c>
      <c r="E188" s="3" t="inlineStr">
        <is>
          <t>LKR</t>
        </is>
      </c>
      <c r="F188" s="4" t="n">
        <v>202350</v>
      </c>
      <c r="G188" s="3" t="inlineStr">
        <is>
          <t>USD</t>
        </is>
      </c>
      <c r="H188" s="4" t="n">
        <v>1086.68</v>
      </c>
      <c r="I188" s="5" t="inlineStr">
        <is>
          <t>2300045011 2300045011 SERVCE PEUYMENTS PRNT FRM</t>
        </is>
      </c>
      <c r="J188" s="3">
        <f>IF(C188="","",TODAY()-C188)</f>
        <v/>
      </c>
    </row>
    <row r="189">
      <c r="A189" s="5" t="inlineStr">
        <is>
          <t>XT0150</t>
        </is>
      </c>
      <c r="B189" s="3" t="inlineStr">
        <is>
          <t>63010012</t>
        </is>
      </c>
      <c r="C189" s="6" t="n">
        <v>44171</v>
      </c>
      <c r="D189" s="3" t="inlineStr">
        <is>
          <t>FZ</t>
        </is>
      </c>
      <c r="E189" s="3" t="inlineStr">
        <is>
          <t>LKR</t>
        </is>
      </c>
      <c r="F189" s="4" t="n">
        <v>9305066.5</v>
      </c>
      <c r="G189" s="3" t="inlineStr">
        <is>
          <t>USD</t>
        </is>
      </c>
      <c r="H189" s="4" t="n">
        <v>49970.82</v>
      </c>
      <c r="I189" s="5" t="n">
        <v/>
      </c>
      <c r="J189" s="3">
        <f>IF(C189="","",TODAY()-C189)</f>
        <v/>
      </c>
    </row>
    <row r="190">
      <c r="A190" s="5" t="inlineStr">
        <is>
          <t>XT0150</t>
        </is>
      </c>
      <c r="B190" s="3" t="inlineStr">
        <is>
          <t>63010012</t>
        </is>
      </c>
      <c r="C190" s="6" t="n">
        <v>44171</v>
      </c>
      <c r="D190" s="3" t="inlineStr">
        <is>
          <t>FZ</t>
        </is>
      </c>
      <c r="E190" s="3" t="inlineStr">
        <is>
          <t>LKR</t>
        </is>
      </c>
      <c r="F190" s="4" t="n">
        <v>9414257.01</v>
      </c>
      <c r="G190" s="3" t="inlineStr">
        <is>
          <t>USD</t>
        </is>
      </c>
      <c r="H190" s="4" t="n">
        <v>50557.2</v>
      </c>
      <c r="I190" s="5" t="n">
        <v/>
      </c>
      <c r="J190" s="3">
        <f>IF(C190="","",TODAY()-C190)</f>
        <v/>
      </c>
    </row>
    <row r="191">
      <c r="A191" s="5" t="inlineStr">
        <is>
          <t>UN0150</t>
        </is>
      </c>
      <c r="B191" s="3" t="inlineStr">
        <is>
          <t>63010012</t>
        </is>
      </c>
      <c r="C191" s="6" t="n">
        <v>44171</v>
      </c>
      <c r="D191" s="3" t="inlineStr">
        <is>
          <t>FZ</t>
        </is>
      </c>
      <c r="E191" s="3" t="inlineStr">
        <is>
          <t>LKR</t>
        </is>
      </c>
      <c r="F191" s="4" t="n">
        <v>8753261.119999999</v>
      </c>
      <c r="G191" s="3" t="inlineStr">
        <is>
          <t>USD</t>
        </is>
      </c>
      <c r="H191" s="4" t="n">
        <v>47007.47</v>
      </c>
      <c r="I191" s="5" t="inlineStr">
        <is>
          <t>NNREF EUBCNSFER T 001-270206-040 001-270206-040</t>
        </is>
      </c>
      <c r="J191" s="3">
        <f>IF(C191="","",TODAY()-C191)</f>
        <v/>
      </c>
    </row>
    <row r="192">
      <c r="A192" s="5" t="inlineStr">
        <is>
          <t>UN0150</t>
        </is>
      </c>
      <c r="B192" s="3" t="inlineStr">
        <is>
          <t>63010012</t>
        </is>
      </c>
      <c r="C192" s="6" t="n">
        <v>44171</v>
      </c>
      <c r="D192" s="3" t="inlineStr">
        <is>
          <t>FZ</t>
        </is>
      </c>
      <c r="E192" s="3" t="inlineStr">
        <is>
          <t>LKR</t>
        </is>
      </c>
      <c r="F192" s="4" t="n">
        <v>8753261.119999999</v>
      </c>
      <c r="G192" s="3" t="inlineStr">
        <is>
          <t>USD</t>
        </is>
      </c>
      <c r="H192" s="4" t="n">
        <v>47007.47</v>
      </c>
      <c r="I192" s="5" t="inlineStr">
        <is>
          <t>NNREF EUBCNSFER T 001-270206-040 001-270206-040</t>
        </is>
      </c>
      <c r="J192" s="3">
        <f>IF(C192="","",TODAY()-C192)</f>
        <v/>
      </c>
    </row>
    <row r="193">
      <c r="A193" s="5" t="inlineStr">
        <is>
          <t>UN0150</t>
        </is>
      </c>
      <c r="B193" s="3" t="inlineStr">
        <is>
          <t>63010012</t>
        </is>
      </c>
      <c r="C193" s="6" t="n">
        <v>44171</v>
      </c>
      <c r="D193" s="3" t="inlineStr">
        <is>
          <t>FZ</t>
        </is>
      </c>
      <c r="E193" s="3" t="inlineStr">
        <is>
          <t>LKR</t>
        </is>
      </c>
      <c r="F193" s="4" t="n">
        <v>2025337.84</v>
      </c>
      <c r="G193" s="3" t="inlineStr">
        <is>
          <t>USD</t>
        </is>
      </c>
      <c r="H193" s="4" t="n">
        <v>10876.63</v>
      </c>
      <c r="I193" s="5" t="n">
        <v/>
      </c>
      <c r="J193" s="3">
        <f>IF(C193="","",TODAY()-C193)</f>
        <v/>
      </c>
    </row>
    <row r="194">
      <c r="A194" s="5" t="inlineStr">
        <is>
          <t>UN0150</t>
        </is>
      </c>
      <c r="B194" s="3" t="inlineStr">
        <is>
          <t>63010012</t>
        </is>
      </c>
      <c r="C194" s="6" t="n">
        <v>44171</v>
      </c>
      <c r="D194" s="3" t="inlineStr">
        <is>
          <t>FZ</t>
        </is>
      </c>
      <c r="E194" s="3" t="inlineStr">
        <is>
          <t>LKR</t>
        </is>
      </c>
      <c r="F194" s="4" t="n">
        <v>75050.77</v>
      </c>
      <c r="G194" s="3" t="inlineStr">
        <is>
          <t>USD</t>
        </is>
      </c>
      <c r="H194" s="4" t="n">
        <v>396.57</v>
      </c>
      <c r="I194" s="5" t="inlineStr">
        <is>
          <t>210322 CLEEURNG CHEQUES</t>
        </is>
      </c>
      <c r="J194" s="3">
        <f>IF(C194="","",TODAY()-C194)</f>
        <v/>
      </c>
    </row>
    <row r="195">
      <c r="A195" s="5" t="inlineStr">
        <is>
          <t>UN0150</t>
        </is>
      </c>
      <c r="B195" s="3" t="inlineStr">
        <is>
          <t>63010012</t>
        </is>
      </c>
      <c r="C195" s="6" t="n">
        <v>44171</v>
      </c>
      <c r="D195" s="3" t="inlineStr">
        <is>
          <t>FZ</t>
        </is>
      </c>
      <c r="E195" s="3" t="inlineStr">
        <is>
          <t>LKR</t>
        </is>
      </c>
      <c r="F195" s="4" t="n">
        <v>75050.77</v>
      </c>
      <c r="G195" s="3" t="inlineStr">
        <is>
          <t>USD</t>
        </is>
      </c>
      <c r="H195" s="4" t="n">
        <v>393.53</v>
      </c>
      <c r="I195" s="5" t="inlineStr">
        <is>
          <t>210360 CLEEURNG CHEQUES</t>
        </is>
      </c>
      <c r="J195" s="3">
        <f>IF(C195="","",TODAY()-C195)</f>
        <v/>
      </c>
    </row>
    <row r="196">
      <c r="A196" s="5" t="inlineStr">
        <is>
          <t>UN0150</t>
        </is>
      </c>
      <c r="B196" s="3" t="inlineStr">
        <is>
          <t>63010012</t>
        </is>
      </c>
      <c r="C196" s="6" t="n">
        <v>44171</v>
      </c>
      <c r="D196" s="3" t="inlineStr">
        <is>
          <t>FZ</t>
        </is>
      </c>
      <c r="E196" s="3" t="inlineStr">
        <is>
          <t>LKR</t>
        </is>
      </c>
      <c r="F196" s="4" t="n">
        <v>33000</v>
      </c>
      <c r="G196" s="3" t="inlineStr">
        <is>
          <t>USD</t>
        </is>
      </c>
      <c r="H196" s="4" t="n">
        <v>173.04</v>
      </c>
      <c r="I196" s="5" t="inlineStr">
        <is>
          <t>210361 CLEEURNG CHEQUES</t>
        </is>
      </c>
      <c r="J196" s="3">
        <f>IF(C196="","",TODAY()-C196)</f>
        <v/>
      </c>
    </row>
    <row r="197">
      <c r="A197" s="5" t="inlineStr">
        <is>
          <t>UN0150</t>
        </is>
      </c>
      <c r="B197" s="3" t="inlineStr">
        <is>
          <t>63010012</t>
        </is>
      </c>
      <c r="C197" s="6" t="n">
        <v>44171</v>
      </c>
      <c r="D197" s="3" t="inlineStr">
        <is>
          <t>FZ</t>
        </is>
      </c>
      <c r="E197" s="3" t="inlineStr">
        <is>
          <t>LKR</t>
        </is>
      </c>
      <c r="F197" s="4" t="n">
        <v>59950</v>
      </c>
      <c r="G197" s="3" t="inlineStr">
        <is>
          <t>USD</t>
        </is>
      </c>
      <c r="H197" s="4" t="n">
        <v>321.95</v>
      </c>
      <c r="I197" s="5" t="inlineStr">
        <is>
          <t>210407 CLEEURNG CHEQUES</t>
        </is>
      </c>
      <c r="J197" s="3">
        <f>IF(C197="","",TODAY()-C197)</f>
        <v/>
      </c>
    </row>
    <row r="198">
      <c r="A198" s="5" t="inlineStr">
        <is>
          <t>XT0150</t>
        </is>
      </c>
      <c r="B198" s="3" t="inlineStr">
        <is>
          <t>63010012</t>
        </is>
      </c>
      <c r="C198" s="6" t="n">
        <v>44171</v>
      </c>
      <c r="D198" s="3" t="inlineStr">
        <is>
          <t>FZ</t>
        </is>
      </c>
      <c r="E198" s="3" t="inlineStr">
        <is>
          <t>LKR</t>
        </is>
      </c>
      <c r="F198" s="4" t="n">
        <v>73093.8</v>
      </c>
      <c r="G198" s="3" t="inlineStr">
        <is>
          <t>USD</t>
        </is>
      </c>
      <c r="H198" s="4" t="n">
        <v>392.53</v>
      </c>
      <c r="I198" s="5" t="inlineStr">
        <is>
          <t>8900019046 EUUTPEUY UT 102 201889615-B56P</t>
        </is>
      </c>
      <c r="J198" s="3">
        <f>IF(C198="","",TODAY()-C198)</f>
        <v/>
      </c>
    </row>
    <row r="199">
      <c r="A199" s="5" t="inlineStr">
        <is>
          <t>XT0150</t>
        </is>
      </c>
      <c r="B199" s="3" t="inlineStr">
        <is>
          <t>63010012</t>
        </is>
      </c>
      <c r="C199" s="6" t="n">
        <v>44171</v>
      </c>
      <c r="D199" s="3" t="inlineStr">
        <is>
          <t>FZ</t>
        </is>
      </c>
      <c r="E199" s="3" t="inlineStr">
        <is>
          <t>LKR</t>
        </is>
      </c>
      <c r="F199" s="4" t="n">
        <v>73093.8</v>
      </c>
      <c r="G199" s="3" t="inlineStr">
        <is>
          <t>USD</t>
        </is>
      </c>
      <c r="H199" s="4" t="n">
        <v>392.53</v>
      </c>
      <c r="I199" s="5" t="inlineStr">
        <is>
          <t>8900019048 EUUTPEUY UT 104 201889615-B56K</t>
        </is>
      </c>
      <c r="J199" s="3">
        <f>IF(C199="","",TODAY()-C199)</f>
        <v/>
      </c>
    </row>
    <row r="200">
      <c r="A200" s="5" t="inlineStr">
        <is>
          <t>XT0150</t>
        </is>
      </c>
      <c r="B200" s="3" t="inlineStr">
        <is>
          <t>63010012</t>
        </is>
      </c>
      <c r="C200" s="6" t="n">
        <v>44171</v>
      </c>
      <c r="D200" s="3" t="inlineStr">
        <is>
          <t>FZ</t>
        </is>
      </c>
      <c r="E200" s="3" t="inlineStr">
        <is>
          <t>LKR</t>
        </is>
      </c>
      <c r="F200" s="4" t="n">
        <v>1369.23</v>
      </c>
      <c r="G200" s="3" t="inlineStr">
        <is>
          <t>USD</t>
        </is>
      </c>
      <c r="H200" s="4" t="n">
        <v>7.35</v>
      </c>
      <c r="I200" s="5" t="inlineStr">
        <is>
          <t>8900019069 EUUTPEUY UT 108 201889617-B176P</t>
        </is>
      </c>
      <c r="J200" s="3">
        <f>IF(C200="","",TODAY()-C200)</f>
        <v/>
      </c>
    </row>
    <row r="201">
      <c r="A201" s="5" t="inlineStr">
        <is>
          <t>XT0150</t>
        </is>
      </c>
      <c r="B201" s="3" t="inlineStr">
        <is>
          <t>63010012</t>
        </is>
      </c>
      <c r="C201" s="6" t="n">
        <v>44171</v>
      </c>
      <c r="D201" s="3" t="inlineStr">
        <is>
          <t>FZ</t>
        </is>
      </c>
      <c r="E201" s="3" t="inlineStr">
        <is>
          <t>LKR</t>
        </is>
      </c>
      <c r="F201" s="4" t="n">
        <v>88663.94</v>
      </c>
      <c r="G201" s="3" t="inlineStr">
        <is>
          <t>USD</t>
        </is>
      </c>
      <c r="H201" s="4" t="n">
        <v>476.15</v>
      </c>
      <c r="I201" s="5" t="inlineStr">
        <is>
          <t>8900019070 EUUTPEUY UT 109 201889617-B176L</t>
        </is>
      </c>
      <c r="J201" s="3">
        <f>IF(C201="","",TODAY()-C201)</f>
        <v/>
      </c>
    </row>
    <row r="202">
      <c r="A202" s="5" t="inlineStr">
        <is>
          <t>XT0150</t>
        </is>
      </c>
      <c r="B202" s="3" t="inlineStr">
        <is>
          <t>63010012</t>
        </is>
      </c>
      <c r="C202" s="6" t="n">
        <v>44171</v>
      </c>
      <c r="D202" s="3" t="inlineStr">
        <is>
          <t>FZ</t>
        </is>
      </c>
      <c r="E202" s="3" t="inlineStr">
        <is>
          <t>LKR</t>
        </is>
      </c>
      <c r="F202" s="4" t="n">
        <v>2579.54</v>
      </c>
      <c r="G202" s="3" t="inlineStr">
        <is>
          <t>USD</t>
        </is>
      </c>
      <c r="H202" s="4" t="n">
        <v>13.85</v>
      </c>
      <c r="I202" s="5" t="inlineStr">
        <is>
          <t>8900019071 EUUTPEUY UT 110 201889617-B176K</t>
        </is>
      </c>
      <c r="J202" s="3">
        <f>IF(C202="","",TODAY()-C202)</f>
        <v/>
      </c>
    </row>
    <row r="203">
      <c r="A203" s="5" t="inlineStr">
        <is>
          <t>XT0150</t>
        </is>
      </c>
      <c r="B203" s="3" t="inlineStr">
        <is>
          <t>63010012</t>
        </is>
      </c>
      <c r="C203" s="6" t="n">
        <v>44171</v>
      </c>
      <c r="D203" s="3" t="inlineStr">
        <is>
          <t>FZ</t>
        </is>
      </c>
      <c r="E203" s="3" t="inlineStr">
        <is>
          <t>LKR</t>
        </is>
      </c>
      <c r="F203" s="4" t="n">
        <v>73118.77</v>
      </c>
      <c r="G203" s="3" t="inlineStr">
        <is>
          <t>USD</t>
        </is>
      </c>
      <c r="H203" s="4" t="n">
        <v>392.67</v>
      </c>
      <c r="I203" s="5" t="inlineStr">
        <is>
          <t>8900019072 EUUTPEUY UT 111 201889617-B176J</t>
        </is>
      </c>
      <c r="J203" s="3">
        <f>IF(C203="","",TODAY()-C203)</f>
        <v/>
      </c>
    </row>
    <row r="204">
      <c r="A204" s="5" t="inlineStr">
        <is>
          <t>XT0150</t>
        </is>
      </c>
      <c r="B204" s="3" t="inlineStr">
        <is>
          <t>63010012</t>
        </is>
      </c>
      <c r="C204" s="6" t="n">
        <v>44171</v>
      </c>
      <c r="D204" s="3" t="inlineStr">
        <is>
          <t>FZ</t>
        </is>
      </c>
      <c r="E204" s="3" t="inlineStr">
        <is>
          <t>LKR</t>
        </is>
      </c>
      <c r="F204" s="4" t="n">
        <v>91844.31</v>
      </c>
      <c r="G204" s="3" t="inlineStr">
        <is>
          <t>USD</t>
        </is>
      </c>
      <c r="H204" s="4" t="n">
        <v>493.23</v>
      </c>
      <c r="I204" s="5" t="inlineStr">
        <is>
          <t>8900019073 EUUTPEUY UT 112 201889617-B176H</t>
        </is>
      </c>
      <c r="J204" s="3">
        <f>IF(C204="","",TODAY()-C204)</f>
        <v/>
      </c>
    </row>
    <row r="205">
      <c r="A205" s="5" t="inlineStr">
        <is>
          <t>XT0150</t>
        </is>
      </c>
      <c r="B205" s="3" t="inlineStr">
        <is>
          <t>63010012</t>
        </is>
      </c>
      <c r="C205" s="6" t="n">
        <v>44171</v>
      </c>
      <c r="D205" s="3" t="inlineStr">
        <is>
          <t>FZ</t>
        </is>
      </c>
      <c r="E205" s="3" t="inlineStr">
        <is>
          <t>LKR</t>
        </is>
      </c>
      <c r="F205" s="4" t="n">
        <v>159.08</v>
      </c>
      <c r="G205" s="3" t="inlineStr">
        <is>
          <t>USD</t>
        </is>
      </c>
      <c r="H205" s="4" t="n">
        <v>0.85</v>
      </c>
      <c r="I205" s="5" t="inlineStr">
        <is>
          <t>8900019074 EUUTPEUY UT 113 201889617-B176G</t>
        </is>
      </c>
      <c r="J205" s="3">
        <f>IF(C205="","",TODAY()-C205)</f>
        <v/>
      </c>
    </row>
    <row r="206">
      <c r="A206" s="5" t="inlineStr">
        <is>
          <t>XT0150</t>
        </is>
      </c>
      <c r="B206" s="3" t="inlineStr">
        <is>
          <t>63010012</t>
        </is>
      </c>
      <c r="C206" s="6" t="n">
        <v>44171</v>
      </c>
      <c r="D206" s="3" t="inlineStr">
        <is>
          <t>FZ</t>
        </is>
      </c>
      <c r="E206" s="3" t="inlineStr">
        <is>
          <t>LKR</t>
        </is>
      </c>
      <c r="F206" s="4" t="n">
        <v>78766.14999999999</v>
      </c>
      <c r="G206" s="3" t="inlineStr">
        <is>
          <t>USD</t>
        </is>
      </c>
      <c r="H206" s="4" t="n">
        <v>423</v>
      </c>
      <c r="I206" s="5" t="inlineStr">
        <is>
          <t>8900019075 EUUTPEUY UT 114 201889617-B176F</t>
        </is>
      </c>
      <c r="J206" s="3">
        <f>IF(C206="","",TODAY()-C206)</f>
        <v/>
      </c>
    </row>
    <row r="207">
      <c r="A207" s="5" t="inlineStr">
        <is>
          <t>XT0150</t>
        </is>
      </c>
      <c r="B207" s="3" t="inlineStr">
        <is>
          <t>63010012</t>
        </is>
      </c>
      <c r="C207" s="6" t="n">
        <v>44171</v>
      </c>
      <c r="D207" s="3" t="inlineStr">
        <is>
          <t>FZ</t>
        </is>
      </c>
      <c r="E207" s="3" t="inlineStr">
        <is>
          <t>LKR</t>
        </is>
      </c>
      <c r="F207" s="4" t="n">
        <v>72202.08</v>
      </c>
      <c r="G207" s="3" t="inlineStr">
        <is>
          <t>USD</t>
        </is>
      </c>
      <c r="H207" s="4" t="n">
        <v>387.75</v>
      </c>
      <c r="I207" s="5" t="inlineStr">
        <is>
          <t>8900019079 EUUTPEUY UT 115 201889617-B176X</t>
        </is>
      </c>
      <c r="J207" s="3">
        <f>IF(C207="","",TODAY()-C207)</f>
        <v/>
      </c>
    </row>
    <row r="208">
      <c r="A208" s="5" t="inlineStr">
        <is>
          <t>XT0150</t>
        </is>
      </c>
      <c r="B208" s="3" t="inlineStr">
        <is>
          <t>63010012</t>
        </is>
      </c>
      <c r="C208" s="6" t="n">
        <v>44171</v>
      </c>
      <c r="D208" s="3" t="inlineStr">
        <is>
          <t>FZ</t>
        </is>
      </c>
      <c r="E208" s="3" t="inlineStr">
        <is>
          <t>LKR</t>
        </is>
      </c>
      <c r="F208" s="4" t="n">
        <v>99250.08</v>
      </c>
      <c r="G208" s="3" t="inlineStr">
        <is>
          <t>USD</t>
        </is>
      </c>
      <c r="H208" s="4" t="n">
        <v>533</v>
      </c>
      <c r="I208" s="5" t="inlineStr">
        <is>
          <t>8900019080 EUUTPEUY UT 116 201889617-B176C</t>
        </is>
      </c>
      <c r="J208" s="3">
        <f>IF(C208="","",TODAY()-C208)</f>
        <v/>
      </c>
    </row>
    <row r="209">
      <c r="A209" s="5" t="inlineStr">
        <is>
          <t>XT0150</t>
        </is>
      </c>
      <c r="B209" s="3" t="inlineStr">
        <is>
          <t>63010012</t>
        </is>
      </c>
      <c r="C209" s="6" t="n">
        <v>44171</v>
      </c>
      <c r="D209" s="3" t="inlineStr">
        <is>
          <t>FZ</t>
        </is>
      </c>
      <c r="E209" s="3" t="inlineStr">
        <is>
          <t>LKR</t>
        </is>
      </c>
      <c r="F209" s="4" t="n">
        <v>72202.08</v>
      </c>
      <c r="G209" s="3" t="inlineStr">
        <is>
          <t>USD</t>
        </is>
      </c>
      <c r="H209" s="4" t="n">
        <v>387.75</v>
      </c>
      <c r="I209" s="5" t="inlineStr">
        <is>
          <t>8900019081 EUUTPEUY UT 117 201889617-B176V</t>
        </is>
      </c>
      <c r="J209" s="3">
        <f>IF(C209="","",TODAY()-C209)</f>
        <v/>
      </c>
    </row>
    <row r="210">
      <c r="A210" s="5" t="inlineStr">
        <is>
          <t>XT0150</t>
        </is>
      </c>
      <c r="B210" s="3" t="inlineStr">
        <is>
          <t>63010012</t>
        </is>
      </c>
      <c r="C210" s="6" t="n">
        <v>44171</v>
      </c>
      <c r="D210" s="3" t="inlineStr">
        <is>
          <t>FZ</t>
        </is>
      </c>
      <c r="E210" s="3" t="inlineStr">
        <is>
          <t>LKR</t>
        </is>
      </c>
      <c r="F210" s="4" t="n">
        <v>72202.08</v>
      </c>
      <c r="G210" s="3" t="inlineStr">
        <is>
          <t>USD</t>
        </is>
      </c>
      <c r="H210" s="4" t="n">
        <v>387.75</v>
      </c>
      <c r="I210" s="5" t="inlineStr">
        <is>
          <t>8900019082 EUUTPEUY UT 118 201889617-B176B</t>
        </is>
      </c>
      <c r="J210" s="3">
        <f>IF(C210="","",TODAY()-C210)</f>
        <v/>
      </c>
    </row>
    <row r="211">
      <c r="A211" s="5" t="inlineStr">
        <is>
          <t>XT0150</t>
        </is>
      </c>
      <c r="B211" s="3" t="inlineStr">
        <is>
          <t>63010012</t>
        </is>
      </c>
      <c r="C211" s="6" t="n">
        <v>44171</v>
      </c>
      <c r="D211" s="3" t="inlineStr">
        <is>
          <t>FZ</t>
        </is>
      </c>
      <c r="E211" s="3" t="inlineStr">
        <is>
          <t>LKR</t>
        </is>
      </c>
      <c r="F211" s="4" t="n">
        <v>140475</v>
      </c>
      <c r="G211" s="3" t="inlineStr">
        <is>
          <t>USD</t>
        </is>
      </c>
      <c r="H211" s="4" t="n">
        <v>754.39</v>
      </c>
      <c r="I211" s="5" t="inlineStr">
        <is>
          <t>8900019083 EUUTPEUY UT 119 201889617-B176M</t>
        </is>
      </c>
      <c r="J211" s="3">
        <f>IF(C211="","",TODAY()-C211)</f>
        <v/>
      </c>
    </row>
    <row r="212">
      <c r="A212" s="5" t="inlineStr">
        <is>
          <t>XT0150</t>
        </is>
      </c>
      <c r="B212" s="3" t="inlineStr">
        <is>
          <t>63010012</t>
        </is>
      </c>
      <c r="C212" s="6" t="n">
        <v>44171</v>
      </c>
      <c r="D212" s="3" t="inlineStr">
        <is>
          <t>FZ</t>
        </is>
      </c>
      <c r="E212" s="3" t="inlineStr">
        <is>
          <t>LKR</t>
        </is>
      </c>
      <c r="F212" s="4" t="n">
        <v>60225</v>
      </c>
      <c r="G212" s="3" t="inlineStr">
        <is>
          <t>USD</t>
        </is>
      </c>
      <c r="H212" s="4" t="n">
        <v>323.43</v>
      </c>
      <c r="I212" s="5" t="inlineStr">
        <is>
          <t>8900019084 EUUTPEUY UT 120 201889617-B76P</t>
        </is>
      </c>
      <c r="J212" s="3">
        <f>IF(C212="","",TODAY()-C212)</f>
        <v/>
      </c>
    </row>
    <row r="213">
      <c r="A213" s="5" t="inlineStr">
        <is>
          <t>XT0150</t>
        </is>
      </c>
      <c r="B213" s="3" t="inlineStr">
        <is>
          <t>63010012</t>
        </is>
      </c>
      <c r="C213" s="6" t="n">
        <v>44171</v>
      </c>
      <c r="D213" s="3" t="inlineStr">
        <is>
          <t>FZ</t>
        </is>
      </c>
      <c r="E213" s="3" t="inlineStr">
        <is>
          <t>LKR</t>
        </is>
      </c>
      <c r="F213" s="4" t="n">
        <v>185375</v>
      </c>
      <c r="G213" s="3" t="inlineStr">
        <is>
          <t>USD</t>
        </is>
      </c>
      <c r="H213" s="4" t="n">
        <v>995.52</v>
      </c>
      <c r="I213" s="5" t="inlineStr">
        <is>
          <t>8900019085 EUUTPEUY UT 121 201889617-B76</t>
        </is>
      </c>
      <c r="J213" s="3">
        <f>IF(C213="","",TODAY()-C213)</f>
        <v/>
      </c>
    </row>
    <row r="214">
      <c r="A214" s="5" t="inlineStr">
        <is>
          <t>XT0150</t>
        </is>
      </c>
      <c r="B214" s="3" t="inlineStr">
        <is>
          <t>63010012</t>
        </is>
      </c>
      <c r="C214" s="6" t="n">
        <v>44171</v>
      </c>
      <c r="D214" s="3" t="inlineStr">
        <is>
          <t>FZ</t>
        </is>
      </c>
      <c r="E214" s="3" t="inlineStr">
        <is>
          <t>LKR</t>
        </is>
      </c>
      <c r="F214" s="4" t="n">
        <v>75875</v>
      </c>
      <c r="G214" s="3" t="inlineStr">
        <is>
          <t>USD</t>
        </is>
      </c>
      <c r="H214" s="4" t="n">
        <v>407.47</v>
      </c>
      <c r="I214" s="5" t="inlineStr">
        <is>
          <t>8900019086 EUUTPEUY UT 122 201889617-B76</t>
        </is>
      </c>
      <c r="J214" s="3">
        <f>IF(C214="","",TODAY()-C214)</f>
        <v/>
      </c>
    </row>
    <row r="215">
      <c r="A215" s="5" t="inlineStr">
        <is>
          <t>XT0150</t>
        </is>
      </c>
      <c r="B215" s="3" t="inlineStr">
        <is>
          <t>63010012</t>
        </is>
      </c>
      <c r="C215" s="6" t="n">
        <v>44171</v>
      </c>
      <c r="D215" s="3" t="inlineStr">
        <is>
          <t>FZ</t>
        </is>
      </c>
      <c r="E215" s="3" t="inlineStr">
        <is>
          <t>LKR</t>
        </is>
      </c>
      <c r="F215" s="4" t="n">
        <v>217075</v>
      </c>
      <c r="G215" s="3" t="inlineStr">
        <is>
          <t>USD</t>
        </is>
      </c>
      <c r="H215" s="4" t="n">
        <v>1165.75</v>
      </c>
      <c r="I215" s="5" t="inlineStr">
        <is>
          <t>8900019087 EUUTPEUY UT 123 201889617-B76U</t>
        </is>
      </c>
      <c r="J215" s="3">
        <f>IF(C215="","",TODAY()-C215)</f>
        <v/>
      </c>
    </row>
    <row r="216">
      <c r="A216" s="5" t="inlineStr">
        <is>
          <t>XT0150</t>
        </is>
      </c>
      <c r="B216" s="3" t="inlineStr">
        <is>
          <t>63010012</t>
        </is>
      </c>
      <c r="C216" s="6" t="n">
        <v>44171</v>
      </c>
      <c r="D216" s="3" t="inlineStr">
        <is>
          <t>FZ</t>
        </is>
      </c>
      <c r="E216" s="3" t="inlineStr">
        <is>
          <t>LKR</t>
        </is>
      </c>
      <c r="F216" s="4" t="n">
        <v>222.77</v>
      </c>
      <c r="G216" s="3" t="inlineStr">
        <is>
          <t>USD</t>
        </is>
      </c>
      <c r="H216" s="4" t="n">
        <v>1.2</v>
      </c>
      <c r="I216" s="5" t="inlineStr">
        <is>
          <t>8900019111 EUUTPEUY UT 189 201889617-B76E</t>
        </is>
      </c>
      <c r="J216" s="3">
        <f>IF(C216="","",TODAY()-C216)</f>
        <v/>
      </c>
    </row>
    <row r="217">
      <c r="A217" s="5" t="inlineStr">
        <is>
          <t>XT0150</t>
        </is>
      </c>
      <c r="B217" s="3" t="inlineStr">
        <is>
          <t>63010012</t>
        </is>
      </c>
      <c r="C217" s="6" t="n">
        <v>44171</v>
      </c>
      <c r="D217" s="3" t="inlineStr">
        <is>
          <t>FZ</t>
        </is>
      </c>
      <c r="E217" s="3" t="inlineStr">
        <is>
          <t>LKR</t>
        </is>
      </c>
      <c r="F217" s="4" t="n">
        <v>159.08</v>
      </c>
      <c r="G217" s="3" t="inlineStr">
        <is>
          <t>USD</t>
        </is>
      </c>
      <c r="H217" s="4" t="n">
        <v>0.85</v>
      </c>
      <c r="I217" s="5" t="inlineStr">
        <is>
          <t>8900019112 EUUTPEUY UT 125 201889617-B76W</t>
        </is>
      </c>
      <c r="J217" s="3">
        <f>IF(C217="","",TODAY()-C217)</f>
        <v/>
      </c>
    </row>
    <row r="218">
      <c r="A218" s="5" t="inlineStr">
        <is>
          <t>XT0150</t>
        </is>
      </c>
      <c r="B218" s="3" t="inlineStr">
        <is>
          <t>63010012</t>
        </is>
      </c>
      <c r="C218" s="6" t="n">
        <v>44171</v>
      </c>
      <c r="D218" s="3" t="inlineStr">
        <is>
          <t>FZ</t>
        </is>
      </c>
      <c r="E218" s="3" t="inlineStr">
        <is>
          <t>LKR</t>
        </is>
      </c>
      <c r="F218" s="4" t="n">
        <v>72227.08</v>
      </c>
      <c r="G218" s="3" t="inlineStr">
        <is>
          <t>USD</t>
        </is>
      </c>
      <c r="H218" s="4" t="n">
        <v>387.88</v>
      </c>
      <c r="I218" s="5" t="inlineStr">
        <is>
          <t>8900019116 EUUTPEUY UT 126 201889618-B186L</t>
        </is>
      </c>
      <c r="J218" s="3">
        <f>IF(C218="","",TODAY()-C218)</f>
        <v/>
      </c>
    </row>
    <row r="219">
      <c r="A219" s="5" t="inlineStr">
        <is>
          <t>XT0150</t>
        </is>
      </c>
      <c r="B219" s="3" t="inlineStr">
        <is>
          <t>63010012</t>
        </is>
      </c>
      <c r="C219" s="6" t="n">
        <v>44171</v>
      </c>
      <c r="D219" s="3" t="inlineStr">
        <is>
          <t>FZ</t>
        </is>
      </c>
      <c r="E219" s="3" t="inlineStr">
        <is>
          <t>LKR</t>
        </is>
      </c>
      <c r="F219" s="4" t="n">
        <v>1142.77</v>
      </c>
      <c r="G219" s="3" t="inlineStr">
        <is>
          <t>USD</t>
        </is>
      </c>
      <c r="H219" s="4" t="n">
        <v>6.14</v>
      </c>
      <c r="I219" s="5" t="inlineStr">
        <is>
          <t>8900019117 EUUTPEUY UT 127 201889618-B186J</t>
        </is>
      </c>
      <c r="J219" s="3">
        <f>IF(C219="","",TODAY()-C219)</f>
        <v/>
      </c>
    </row>
    <row r="220">
      <c r="A220" s="5" t="inlineStr">
        <is>
          <t>XT0150</t>
        </is>
      </c>
      <c r="B220" s="3" t="inlineStr">
        <is>
          <t>63010012</t>
        </is>
      </c>
      <c r="C220" s="6" t="n">
        <v>44171</v>
      </c>
      <c r="D220" s="3" t="inlineStr">
        <is>
          <t>FZ</t>
        </is>
      </c>
      <c r="E220" s="3" t="inlineStr">
        <is>
          <t>LKR</t>
        </is>
      </c>
      <c r="F220" s="4" t="n">
        <v>71632.62</v>
      </c>
      <c r="G220" s="3" t="inlineStr">
        <is>
          <t>USD</t>
        </is>
      </c>
      <c r="H220" s="4" t="n">
        <v>384.69</v>
      </c>
      <c r="I220" s="5" t="inlineStr">
        <is>
          <t>8900019123 EUUTPEUY UT 128 201889618-B186X</t>
        </is>
      </c>
      <c r="J220" s="3">
        <f>IF(C220="","",TODAY()-C220)</f>
        <v/>
      </c>
    </row>
    <row r="221">
      <c r="A221" s="5" t="inlineStr">
        <is>
          <t>UN0100</t>
        </is>
      </c>
      <c r="B221" s="3" t="inlineStr">
        <is>
          <t>63010012</t>
        </is>
      </c>
      <c r="C221" s="6" t="n">
        <v>44141</v>
      </c>
      <c r="D221" s="3" t="inlineStr">
        <is>
          <t>FZ</t>
        </is>
      </c>
      <c r="E221" s="3" t="inlineStr">
        <is>
          <t>LKR</t>
        </is>
      </c>
      <c r="F221" s="4" t="n">
        <v>68000</v>
      </c>
      <c r="G221" s="3" t="inlineStr">
        <is>
          <t>USD</t>
        </is>
      </c>
      <c r="H221" s="4" t="n">
        <v>365.18</v>
      </c>
      <c r="I221" s="5" t="inlineStr">
        <is>
          <t>2600000267 2600000267 NTERCMPEUNY PEUYMENTS  EUC</t>
        </is>
      </c>
      <c r="J221" s="3">
        <f>IF(C221="","",TODAY()-C221)</f>
        <v/>
      </c>
    </row>
    <row r="222">
      <c r="A222" s="5" t="inlineStr">
        <is>
          <t>UN0150</t>
        </is>
      </c>
      <c r="B222" s="3" t="inlineStr">
        <is>
          <t>63010012</t>
        </is>
      </c>
      <c r="C222" s="6" t="n">
        <v>44171</v>
      </c>
      <c r="D222" s="3" t="inlineStr">
        <is>
          <t>FZ</t>
        </is>
      </c>
      <c r="E222" s="3" t="inlineStr">
        <is>
          <t>LKR</t>
        </is>
      </c>
      <c r="F222" s="4" t="n">
        <v>2891768.1</v>
      </c>
      <c r="G222" s="3" t="inlineStr">
        <is>
          <t>USD</t>
        </is>
      </c>
      <c r="H222" s="4" t="n">
        <v>15529.61</v>
      </c>
      <c r="I222" s="5" t="inlineStr">
        <is>
          <t>210408 CLEEURNG CHEQUES</t>
        </is>
      </c>
      <c r="J222" s="3">
        <f>IF(C222="","",TODAY()-C222)</f>
        <v/>
      </c>
    </row>
    <row r="223">
      <c r="A223" s="5" t="inlineStr">
        <is>
          <t>UN0150</t>
        </is>
      </c>
      <c r="B223" s="3" t="inlineStr">
        <is>
          <t>63010012</t>
        </is>
      </c>
      <c r="C223" s="6" t="n">
        <v>44171</v>
      </c>
      <c r="D223" s="3" t="inlineStr">
        <is>
          <t>FZ</t>
        </is>
      </c>
      <c r="E223" s="3" t="inlineStr">
        <is>
          <t>LKR</t>
        </is>
      </c>
      <c r="F223" s="4" t="n">
        <v>1291104.95</v>
      </c>
      <c r="G223" s="3" t="inlineStr">
        <is>
          <t>USD</t>
        </is>
      </c>
      <c r="H223" s="4" t="n">
        <v>6933.6</v>
      </c>
      <c r="I223" s="5" t="inlineStr">
        <is>
          <t>210409 CLEEURNG CHEQUES</t>
        </is>
      </c>
      <c r="J223" s="3">
        <f>IF(C223="","",TODAY()-C223)</f>
        <v/>
      </c>
    </row>
    <row r="224">
      <c r="A224" s="5" t="inlineStr">
        <is>
          <t>UN0100</t>
        </is>
      </c>
      <c r="B224" s="3" t="inlineStr">
        <is>
          <t>63010012</t>
        </is>
      </c>
      <c r="C224" s="6" t="n">
        <v>44141</v>
      </c>
      <c r="D224" s="3" t="inlineStr">
        <is>
          <t>FZ</t>
        </is>
      </c>
      <c r="E224" s="3" t="inlineStr">
        <is>
          <t>LKR</t>
        </is>
      </c>
      <c r="F224" s="4" t="n">
        <v>330051.77</v>
      </c>
      <c r="G224" s="3" t="inlineStr">
        <is>
          <t>USD</t>
        </is>
      </c>
      <c r="H224" s="4" t="n">
        <v>1772.47</v>
      </c>
      <c r="I224" s="5" t="inlineStr">
        <is>
          <t>2600000268 2600000268 DHL KEELLS DLL LTD-LKR</t>
        </is>
      </c>
      <c r="J224" s="3">
        <f>IF(C224="","",TODAY()-C224)</f>
        <v/>
      </c>
    </row>
    <row r="225">
      <c r="A225" s="5" t="inlineStr">
        <is>
          <t>UN0150</t>
        </is>
      </c>
      <c r="B225" s="3" t="inlineStr">
        <is>
          <t>63010012</t>
        </is>
      </c>
      <c r="C225" s="6" t="n">
        <v>44171</v>
      </c>
      <c r="D225" s="3" t="inlineStr">
        <is>
          <t>FZ</t>
        </is>
      </c>
      <c r="E225" s="3" t="inlineStr">
        <is>
          <t>LKR</t>
        </is>
      </c>
      <c r="F225" s="4" t="n">
        <v>2597422.32</v>
      </c>
      <c r="G225" s="3" t="inlineStr">
        <is>
          <t>USD</t>
        </is>
      </c>
      <c r="H225" s="4" t="n">
        <v>13948.89</v>
      </c>
      <c r="I225" s="5" t="inlineStr">
        <is>
          <t>2600000565 2600000565 DHL KEELLS DLL LTD-LKR</t>
        </is>
      </c>
      <c r="J225" s="3">
        <f>IF(C225="","",TODAY()-C225)</f>
        <v/>
      </c>
    </row>
    <row r="226">
      <c r="A226" s="5" t="inlineStr">
        <is>
          <t>UN0150</t>
        </is>
      </c>
      <c r="B226" s="3" t="inlineStr">
        <is>
          <t>63010012</t>
        </is>
      </c>
      <c r="C226" s="6" t="n">
        <v>44171</v>
      </c>
      <c r="D226" s="3" t="inlineStr">
        <is>
          <t>FZ</t>
        </is>
      </c>
      <c r="E226" s="3" t="inlineStr">
        <is>
          <t>LKR</t>
        </is>
      </c>
      <c r="F226" s="4" t="n">
        <v>1579679</v>
      </c>
      <c r="G226" s="3" t="inlineStr">
        <is>
          <t>USD</t>
        </is>
      </c>
      <c r="H226" s="4" t="n">
        <v>8483.32</v>
      </c>
      <c r="I226" s="5" t="inlineStr">
        <is>
          <t>2600000566 2600000566 FREGHT PEUYMENTS EXPLEUNKEU F</t>
        </is>
      </c>
      <c r="J226" s="3">
        <f>IF(C226="","",TODAY()-C226)</f>
        <v/>
      </c>
    </row>
    <row r="227">
      <c r="A227" s="5" t="inlineStr">
        <is>
          <t>XT0150</t>
        </is>
      </c>
      <c r="B227" s="3" t="inlineStr">
        <is>
          <t>63010012</t>
        </is>
      </c>
      <c r="C227" s="6" t="n">
        <v>44171</v>
      </c>
      <c r="D227" s="3" t="inlineStr">
        <is>
          <t>FZ</t>
        </is>
      </c>
      <c r="E227" s="3" t="inlineStr">
        <is>
          <t>LKR</t>
        </is>
      </c>
      <c r="F227" s="4" t="n">
        <v>397</v>
      </c>
      <c r="G227" s="3" t="inlineStr">
        <is>
          <t>USD</t>
        </is>
      </c>
      <c r="H227" s="4" t="n">
        <v>2.13</v>
      </c>
      <c r="I227" s="5" t="inlineStr">
        <is>
          <t>JUNE 2020 EUUTPEUY UT EU02 JUNE 2020</t>
        </is>
      </c>
      <c r="J227" s="3">
        <f>IF(C227="","",TODAY()-C227)</f>
        <v/>
      </c>
    </row>
    <row r="228">
      <c r="A228" s="5" t="inlineStr">
        <is>
          <t>XT0150</t>
        </is>
      </c>
      <c r="B228" s="3" t="inlineStr">
        <is>
          <t>63010012</t>
        </is>
      </c>
      <c r="C228" s="6" t="n">
        <v>44171</v>
      </c>
      <c r="D228" s="3" t="inlineStr">
        <is>
          <t>FZ</t>
        </is>
      </c>
      <c r="E228" s="3" t="inlineStr">
        <is>
          <t>LKR</t>
        </is>
      </c>
      <c r="F228" s="4" t="n">
        <v>123</v>
      </c>
      <c r="G228" s="3" t="inlineStr">
        <is>
          <t>USD</t>
        </is>
      </c>
      <c r="H228" s="4" t="n">
        <v>0.66</v>
      </c>
      <c r="I228" s="5" t="inlineStr">
        <is>
          <t>JUNE 2020 EUUTPEUY UT EU03 JUNE 2020</t>
        </is>
      </c>
      <c r="J228" s="3">
        <f>IF(C228="","",TODAY()-C228)</f>
        <v/>
      </c>
    </row>
    <row r="229">
      <c r="A229" s="5" t="inlineStr">
        <is>
          <t>XT0150</t>
        </is>
      </c>
      <c r="B229" s="3" t="inlineStr">
        <is>
          <t>63010012</t>
        </is>
      </c>
      <c r="C229" s="6" t="n">
        <v>44171</v>
      </c>
      <c r="D229" s="3" t="inlineStr">
        <is>
          <t>FZ</t>
        </is>
      </c>
      <c r="E229" s="3" t="inlineStr">
        <is>
          <t>LKR</t>
        </is>
      </c>
      <c r="F229" s="4" t="n">
        <v>7561422.69</v>
      </c>
      <c r="G229" s="3" t="inlineStr">
        <is>
          <t>USD</t>
        </is>
      </c>
      <c r="H229" s="4" t="n">
        <v>40606.96</v>
      </c>
      <c r="I229" s="5" t="n">
        <v/>
      </c>
      <c r="J229" s="3">
        <f>IF(C229="","",TODAY()-C229)</f>
        <v/>
      </c>
    </row>
    <row r="230">
      <c r="A230" s="5" t="inlineStr">
        <is>
          <t>XT0150</t>
        </is>
      </c>
      <c r="B230" s="3" t="inlineStr">
        <is>
          <t>63010012</t>
        </is>
      </c>
      <c r="C230" s="6" t="n">
        <v>44171</v>
      </c>
      <c r="D230" s="3" t="inlineStr">
        <is>
          <t>FZ</t>
        </is>
      </c>
      <c r="E230" s="3" t="inlineStr">
        <is>
          <t>LKR</t>
        </is>
      </c>
      <c r="F230" s="4" t="n">
        <v>100836422.69</v>
      </c>
      <c r="G230" s="3" t="inlineStr">
        <is>
          <t>USD</t>
        </is>
      </c>
      <c r="H230" s="4" t="n">
        <v>541519.91</v>
      </c>
      <c r="I230" s="5" t="n">
        <v/>
      </c>
      <c r="J230" s="3">
        <f>IF(C230="","",TODAY()-C230)</f>
        <v/>
      </c>
    </row>
    <row r="231">
      <c r="A231" s="5" t="inlineStr">
        <is>
          <t>UN0150</t>
        </is>
      </c>
      <c r="B231" s="3" t="inlineStr">
        <is>
          <t>63010012</t>
        </is>
      </c>
      <c r="C231" s="6" t="n">
        <v>44171</v>
      </c>
      <c r="D231" s="3" t="inlineStr">
        <is>
          <t>FZ</t>
        </is>
      </c>
      <c r="E231" s="3" t="inlineStr">
        <is>
          <t>LKR</t>
        </is>
      </c>
      <c r="F231" s="4" t="n">
        <v>8510209.58</v>
      </c>
      <c r="G231" s="3" t="inlineStr">
        <is>
          <t>USD</t>
        </is>
      </c>
      <c r="H231" s="4" t="n">
        <v>45702.22</v>
      </c>
      <c r="I231" s="5" t="inlineStr">
        <is>
          <t>NNREF EUBCNSFER T 001-270206-040 001-270206-040</t>
        </is>
      </c>
      <c r="J231" s="3">
        <f>IF(C231="","",TODAY()-C231)</f>
        <v/>
      </c>
    </row>
    <row r="232">
      <c r="A232" s="5" t="inlineStr">
        <is>
          <t>UN0150</t>
        </is>
      </c>
      <c r="B232" s="3" t="inlineStr">
        <is>
          <t>63010012</t>
        </is>
      </c>
      <c r="C232" s="6" t="n">
        <v>44171</v>
      </c>
      <c r="D232" s="3" t="inlineStr">
        <is>
          <t>FZ</t>
        </is>
      </c>
      <c r="E232" s="3" t="inlineStr">
        <is>
          <t>LKR</t>
        </is>
      </c>
      <c r="F232" s="4" t="n">
        <v>150235.21</v>
      </c>
      <c r="G232" s="3" t="inlineStr">
        <is>
          <t>USD</t>
        </is>
      </c>
      <c r="H232" s="4" t="n">
        <v>806.8099999999999</v>
      </c>
      <c r="I232" s="5" t="inlineStr">
        <is>
          <t>NNREF EUBCNSFER T 001-270206-040 001-270206-040</t>
        </is>
      </c>
      <c r="J232" s="3">
        <f>IF(C232="","",TODAY()-C232)</f>
        <v/>
      </c>
    </row>
    <row r="233">
      <c r="A233" s="5" t="inlineStr">
        <is>
          <t>XT0150</t>
        </is>
      </c>
      <c r="B233" s="3" t="inlineStr">
        <is>
          <t>63010012</t>
        </is>
      </c>
      <c r="C233" s="6" t="n">
        <v>44171</v>
      </c>
      <c r="D233" s="3" t="inlineStr">
        <is>
          <t>FZ</t>
        </is>
      </c>
      <c r="E233" s="3" t="inlineStr">
        <is>
          <t>LKR</t>
        </is>
      </c>
      <c r="F233" s="4" t="n">
        <v>229360.06</v>
      </c>
      <c r="G233" s="3" t="inlineStr">
        <is>
          <t>USD</t>
        </is>
      </c>
      <c r="H233" s="4" t="n">
        <v>1231.73</v>
      </c>
      <c r="I233" s="5" t="inlineStr">
        <is>
          <t>NNREF PEUY BY 001-056936-001 T 999517355000000008</t>
        </is>
      </c>
      <c r="J233" s="3">
        <f>IF(C233="","",TODAY()-C233)</f>
        <v/>
      </c>
    </row>
    <row r="234">
      <c r="A234" s="5" t="inlineStr">
        <is>
          <t>UN0150</t>
        </is>
      </c>
      <c r="B234" s="3" t="inlineStr">
        <is>
          <t>63010012</t>
        </is>
      </c>
      <c r="C234" s="6" t="n">
        <v>44171</v>
      </c>
      <c r="D234" s="3" t="inlineStr">
        <is>
          <t>FZ</t>
        </is>
      </c>
      <c r="E234" s="3" t="inlineStr">
        <is>
          <t>LKR</t>
        </is>
      </c>
      <c r="F234" s="4" t="n">
        <v>73267.38</v>
      </c>
      <c r="G234" s="3" t="inlineStr">
        <is>
          <t>USD</t>
        </is>
      </c>
      <c r="H234" s="4" t="n">
        <v>384.18</v>
      </c>
      <c r="I234" s="5" t="inlineStr">
        <is>
          <t>210357 CLEEURNG CHEQUES</t>
        </is>
      </c>
      <c r="J234" s="3">
        <f>IF(C234="","",TODAY()-C234)</f>
        <v/>
      </c>
    </row>
    <row r="235">
      <c r="A235" s="5" t="inlineStr">
        <is>
          <t>XT0150</t>
        </is>
      </c>
      <c r="B235" s="3" t="inlineStr">
        <is>
          <t>63010012</t>
        </is>
      </c>
      <c r="C235" s="6" t="n">
        <v>44171</v>
      </c>
      <c r="D235" s="3" t="inlineStr">
        <is>
          <t>FZ</t>
        </is>
      </c>
      <c r="E235" s="3" t="inlineStr">
        <is>
          <t>LKR</t>
        </is>
      </c>
      <c r="F235" s="4" t="n">
        <v>100836422.69</v>
      </c>
      <c r="G235" s="3" t="inlineStr">
        <is>
          <t>USD</t>
        </is>
      </c>
      <c r="H235" s="4" t="n">
        <v>541519.91</v>
      </c>
      <c r="I235" s="5" t="n">
        <v/>
      </c>
      <c r="J235" s="3">
        <f>IF(C235="","",TODAY()-C235)</f>
        <v/>
      </c>
    </row>
    <row r="236">
      <c r="A236" s="5" t="inlineStr">
        <is>
          <t>UN0150</t>
        </is>
      </c>
      <c r="B236" s="3" t="inlineStr">
        <is>
          <t>63010012</t>
        </is>
      </c>
      <c r="C236" s="6" t="n">
        <v>44171</v>
      </c>
      <c r="D236" s="3" t="inlineStr">
        <is>
          <t>FZ</t>
        </is>
      </c>
      <c r="E236" s="3" t="inlineStr">
        <is>
          <t>LKR</t>
        </is>
      </c>
      <c r="F236" s="4" t="n">
        <v>27074051.83</v>
      </c>
      <c r="G236" s="3" t="inlineStr">
        <is>
          <t>USD</t>
        </is>
      </c>
      <c r="H236" s="4" t="n">
        <v>145395.26</v>
      </c>
      <c r="I236" s="5" t="inlineStr">
        <is>
          <t>NNREF EUBCNSFER T 001-270206-040 001-270206-040</t>
        </is>
      </c>
      <c r="J236" s="3">
        <f>IF(C236="","",TODAY()-C236)</f>
        <v/>
      </c>
    </row>
    <row r="237">
      <c r="A237" s="5" t="inlineStr">
        <is>
          <t>UN0100</t>
        </is>
      </c>
      <c r="B237" s="3" t="inlineStr">
        <is>
          <t>63010012</t>
        </is>
      </c>
      <c r="C237" s="6" t="n">
        <v>44141</v>
      </c>
      <c r="D237" s="3" t="inlineStr">
        <is>
          <t>FZ</t>
        </is>
      </c>
      <c r="E237" s="3" t="inlineStr">
        <is>
          <t>LKR</t>
        </is>
      </c>
      <c r="F237" s="4" t="n">
        <v>9550</v>
      </c>
      <c r="G237" s="3" t="inlineStr">
        <is>
          <t>USD</t>
        </is>
      </c>
      <c r="H237" s="4" t="n">
        <v>51.29</v>
      </c>
      <c r="I237" s="5" t="inlineStr">
        <is>
          <t>000343 CLEEURNG CHEQUES</t>
        </is>
      </c>
      <c r="J237" s="3">
        <f>IF(C237="","",TODAY()-C237)</f>
        <v/>
      </c>
    </row>
    <row r="238">
      <c r="A238" s="5" t="inlineStr">
        <is>
          <t>UN0150</t>
        </is>
      </c>
      <c r="B238" s="3" t="inlineStr">
        <is>
          <t>63010012</t>
        </is>
      </c>
      <c r="C238" s="6" t="n">
        <v>44171</v>
      </c>
      <c r="D238" s="3" t="inlineStr">
        <is>
          <t>FZ</t>
        </is>
      </c>
      <c r="E238" s="3" t="inlineStr">
        <is>
          <t>LKR</t>
        </is>
      </c>
      <c r="F238" s="4" t="n">
        <v>90474.5</v>
      </c>
      <c r="G238" s="3" t="inlineStr">
        <is>
          <t>USD</t>
        </is>
      </c>
      <c r="H238" s="4" t="n">
        <v>485.87</v>
      </c>
      <c r="I238" s="5" t="inlineStr">
        <is>
          <t>210398 CLEEURNG CHEQUES</t>
        </is>
      </c>
      <c r="J238" s="3">
        <f>IF(C238="","",TODAY()-C238)</f>
        <v/>
      </c>
    </row>
    <row r="239">
      <c r="A239" s="5" t="inlineStr">
        <is>
          <t>UN0150</t>
        </is>
      </c>
      <c r="B239" s="3" t="inlineStr">
        <is>
          <t>63010012</t>
        </is>
      </c>
      <c r="C239" s="6" t="n">
        <v>44171</v>
      </c>
      <c r="D239" s="3" t="inlineStr">
        <is>
          <t>FZ</t>
        </is>
      </c>
      <c r="E239" s="3" t="inlineStr">
        <is>
          <t>LKR</t>
        </is>
      </c>
      <c r="F239" s="4" t="n">
        <v>125000</v>
      </c>
      <c r="G239" s="3" t="inlineStr">
        <is>
          <t>USD</t>
        </is>
      </c>
      <c r="H239" s="4" t="n">
        <v>671.29</v>
      </c>
      <c r="I239" s="5" t="inlineStr">
        <is>
          <t>210400 CLEEURNG CHEQUES</t>
        </is>
      </c>
      <c r="J239" s="3">
        <f>IF(C239="","",TODAY()-C239)</f>
        <v/>
      </c>
    </row>
    <row r="240">
      <c r="A240" s="5" t="inlineStr">
        <is>
          <t>UN0150</t>
        </is>
      </c>
      <c r="B240" s="3" t="inlineStr">
        <is>
          <t>63010012</t>
        </is>
      </c>
      <c r="C240" s="6" t="n">
        <v>44171</v>
      </c>
      <c r="D240" s="3" t="inlineStr">
        <is>
          <t>FZ</t>
        </is>
      </c>
      <c r="E240" s="3" t="inlineStr">
        <is>
          <t>LKR</t>
        </is>
      </c>
      <c r="F240" s="4" t="n">
        <v>65333.33</v>
      </c>
      <c r="G240" s="3" t="inlineStr">
        <is>
          <t>USD</t>
        </is>
      </c>
      <c r="H240" s="4" t="n">
        <v>350.86</v>
      </c>
      <c r="I240" s="5" t="inlineStr">
        <is>
          <t>210401 CLEEURNG CHEQUES</t>
        </is>
      </c>
      <c r="J240" s="3">
        <f>IF(C240="","",TODAY()-C240)</f>
        <v/>
      </c>
    </row>
    <row r="241">
      <c r="A241" s="5" t="inlineStr">
        <is>
          <t>UN0150</t>
        </is>
      </c>
      <c r="B241" s="3" t="inlineStr">
        <is>
          <t>63010012</t>
        </is>
      </c>
      <c r="C241" s="6" t="n">
        <v>44171</v>
      </c>
      <c r="D241" s="3" t="inlineStr">
        <is>
          <t>FZ</t>
        </is>
      </c>
      <c r="E241" s="3" t="inlineStr">
        <is>
          <t>LKR</t>
        </is>
      </c>
      <c r="F241" s="4" t="n">
        <v>124773.5</v>
      </c>
      <c r="G241" s="3" t="inlineStr">
        <is>
          <t>USD</t>
        </is>
      </c>
      <c r="H241" s="4" t="n">
        <v>670.0700000000001</v>
      </c>
      <c r="I241" s="5" t="inlineStr">
        <is>
          <t>210412 CLEEURNG CHEQUES</t>
        </is>
      </c>
      <c r="J241" s="3">
        <f>IF(C241="","",TODAY()-C241)</f>
        <v/>
      </c>
    </row>
    <row r="242">
      <c r="A242" s="5" t="inlineStr">
        <is>
          <t>UN0150</t>
        </is>
      </c>
      <c r="B242" s="3" t="inlineStr">
        <is>
          <t>63010012</t>
        </is>
      </c>
      <c r="C242" s="6" t="n">
        <v>44171</v>
      </c>
      <c r="D242" s="3" t="inlineStr">
        <is>
          <t>FZ</t>
        </is>
      </c>
      <c r="E242" s="3" t="inlineStr">
        <is>
          <t>LKR</t>
        </is>
      </c>
      <c r="F242" s="4" t="n">
        <v>46300</v>
      </c>
      <c r="G242" s="3" t="inlineStr">
        <is>
          <t>USD</t>
        </is>
      </c>
      <c r="H242" s="4" t="n">
        <v>248.64</v>
      </c>
      <c r="I242" s="5" t="inlineStr">
        <is>
          <t>210413 CLEEURNG CHEQUES</t>
        </is>
      </c>
      <c r="J242" s="3">
        <f>IF(C242="","",TODAY()-C242)</f>
        <v/>
      </c>
    </row>
    <row r="243">
      <c r="A243" s="5" t="inlineStr">
        <is>
          <t>UN0150</t>
        </is>
      </c>
      <c r="B243" s="3" t="inlineStr">
        <is>
          <t>63010012</t>
        </is>
      </c>
      <c r="C243" s="6" t="n">
        <v>44171</v>
      </c>
      <c r="D243" s="3" t="inlineStr">
        <is>
          <t>FZ</t>
        </is>
      </c>
      <c r="E243" s="3" t="inlineStr">
        <is>
          <t>LKR</t>
        </is>
      </c>
      <c r="F243" s="4" t="n">
        <v>21000</v>
      </c>
      <c r="G243" s="3" t="inlineStr">
        <is>
          <t>USD</t>
        </is>
      </c>
      <c r="H243" s="4" t="n">
        <v>112.78</v>
      </c>
      <c r="I243" s="5" t="inlineStr">
        <is>
          <t>210414 CLEEURNG CHEQUES</t>
        </is>
      </c>
      <c r="J243" s="3">
        <f>IF(C243="","",TODAY()-C243)</f>
        <v/>
      </c>
    </row>
    <row r="244">
      <c r="A244" s="5" t="inlineStr">
        <is>
          <t>XT0150</t>
        </is>
      </c>
      <c r="B244" s="3" t="inlineStr">
        <is>
          <t>63010012</t>
        </is>
      </c>
      <c r="C244" s="6" t="n">
        <v>44171</v>
      </c>
      <c r="D244" s="3" t="inlineStr">
        <is>
          <t>FZ</t>
        </is>
      </c>
      <c r="E244" s="3" t="inlineStr">
        <is>
          <t>LKR</t>
        </is>
      </c>
      <c r="F244" s="4" t="n">
        <v>859.85</v>
      </c>
      <c r="G244" s="3" t="inlineStr">
        <is>
          <t>USD</t>
        </is>
      </c>
      <c r="H244" s="4" t="n">
        <v>4.62</v>
      </c>
      <c r="I244" s="5" t="inlineStr">
        <is>
          <t>8900019126 EUUTPEUY UT 129 201889619-B196J</t>
        </is>
      </c>
      <c r="J244" s="3">
        <f>IF(C244="","",TODAY()-C244)</f>
        <v/>
      </c>
    </row>
    <row r="245">
      <c r="A245" s="5" t="inlineStr">
        <is>
          <t>XT0150</t>
        </is>
      </c>
      <c r="B245" s="3" t="inlineStr">
        <is>
          <t>63010012</t>
        </is>
      </c>
      <c r="C245" s="6" t="n">
        <v>44171</v>
      </c>
      <c r="D245" s="3" t="inlineStr">
        <is>
          <t>FZ</t>
        </is>
      </c>
      <c r="E245" s="3" t="inlineStr">
        <is>
          <t>LKR</t>
        </is>
      </c>
      <c r="F245" s="4" t="n">
        <v>5445.54</v>
      </c>
      <c r="G245" s="3" t="inlineStr">
        <is>
          <t>USD</t>
        </is>
      </c>
      <c r="H245" s="4" t="n">
        <v>29.24</v>
      </c>
      <c r="I245" s="5" t="inlineStr">
        <is>
          <t>8900019127 EUUTPEUY UT 130 201889619-B196H</t>
        </is>
      </c>
      <c r="J245" s="3">
        <f>IF(C245="","",TODAY()-C245)</f>
        <v/>
      </c>
    </row>
    <row r="246">
      <c r="A246" s="5" t="inlineStr">
        <is>
          <t>XT0150</t>
        </is>
      </c>
      <c r="B246" s="3" t="inlineStr">
        <is>
          <t>63010012</t>
        </is>
      </c>
      <c r="C246" s="6" t="n">
        <v>44171</v>
      </c>
      <c r="D246" s="3" t="inlineStr">
        <is>
          <t>FZ</t>
        </is>
      </c>
      <c r="E246" s="3" t="inlineStr">
        <is>
          <t>LKR</t>
        </is>
      </c>
      <c r="F246" s="4" t="n">
        <v>944.62</v>
      </c>
      <c r="G246" s="3" t="inlineStr">
        <is>
          <t>USD</t>
        </is>
      </c>
      <c r="H246" s="4" t="n">
        <v>5.07</v>
      </c>
      <c r="I246" s="5" t="inlineStr">
        <is>
          <t>8900019128 EUUTPEUY UT 131 201889619-B196G</t>
        </is>
      </c>
      <c r="J246" s="3">
        <f>IF(C246="","",TODAY()-C246)</f>
        <v/>
      </c>
    </row>
    <row r="247">
      <c r="A247" s="5" t="inlineStr">
        <is>
          <t>XT0150</t>
        </is>
      </c>
      <c r="B247" s="3" t="inlineStr">
        <is>
          <t>63010012</t>
        </is>
      </c>
      <c r="C247" s="6" t="n">
        <v>44171</v>
      </c>
      <c r="D247" s="3" t="inlineStr">
        <is>
          <t>FZ</t>
        </is>
      </c>
      <c r="E247" s="3" t="inlineStr">
        <is>
          <t>LKR</t>
        </is>
      </c>
      <c r="F247" s="4" t="n">
        <v>99275.08</v>
      </c>
      <c r="G247" s="3" t="inlineStr">
        <is>
          <t>USD</t>
        </is>
      </c>
      <c r="H247" s="4" t="n">
        <v>533.14</v>
      </c>
      <c r="I247" s="5" t="inlineStr">
        <is>
          <t>8900019129 EUUTPEUY UT 132 201889619-B196EU</t>
        </is>
      </c>
      <c r="J247" s="3">
        <f>IF(C247="","",TODAY()-C247)</f>
        <v/>
      </c>
    </row>
    <row r="248">
      <c r="A248" s="5" t="inlineStr">
        <is>
          <t>XT0150</t>
        </is>
      </c>
      <c r="B248" s="3" t="inlineStr">
        <is>
          <t>63010012</t>
        </is>
      </c>
      <c r="C248" s="6" t="n">
        <v>44171</v>
      </c>
      <c r="D248" s="3" t="inlineStr">
        <is>
          <t>FZ</t>
        </is>
      </c>
      <c r="E248" s="3" t="inlineStr">
        <is>
          <t>LKR</t>
        </is>
      </c>
      <c r="F248" s="4" t="n">
        <v>72227.08</v>
      </c>
      <c r="G248" s="3" t="inlineStr">
        <is>
          <t>USD</t>
        </is>
      </c>
      <c r="H248" s="4" t="n">
        <v>387.88</v>
      </c>
      <c r="I248" s="5" t="inlineStr">
        <is>
          <t>8900019130 EUUTPEUY UT 133 201889619-B196Z</t>
        </is>
      </c>
      <c r="J248" s="3">
        <f>IF(C248="","",TODAY()-C248)</f>
        <v/>
      </c>
    </row>
    <row r="249">
      <c r="A249" s="5" t="inlineStr">
        <is>
          <t>XT0150</t>
        </is>
      </c>
      <c r="B249" s="3" t="inlineStr">
        <is>
          <t>63010012</t>
        </is>
      </c>
      <c r="C249" s="6" t="n">
        <v>44171</v>
      </c>
      <c r="D249" s="3" t="inlineStr">
        <is>
          <t>FZ</t>
        </is>
      </c>
      <c r="E249" s="3" t="inlineStr">
        <is>
          <t>LKR</t>
        </is>
      </c>
      <c r="F249" s="4" t="n">
        <v>91844.31</v>
      </c>
      <c r="G249" s="3" t="inlineStr">
        <is>
          <t>USD</t>
        </is>
      </c>
      <c r="H249" s="4" t="n">
        <v>493.23</v>
      </c>
      <c r="I249" s="5" t="inlineStr">
        <is>
          <t>8900019131 EUUTPEUY UT 134 201889619-B196X</t>
        </is>
      </c>
      <c r="J249" s="3">
        <f>IF(C249="","",TODAY()-C249)</f>
        <v/>
      </c>
    </row>
    <row r="250">
      <c r="A250" s="5" t="inlineStr">
        <is>
          <t>XT0150</t>
        </is>
      </c>
      <c r="B250" s="3" t="inlineStr">
        <is>
          <t>63010012</t>
        </is>
      </c>
      <c r="C250" s="6" t="n">
        <v>44171</v>
      </c>
      <c r="D250" s="3" t="inlineStr">
        <is>
          <t>FZ</t>
        </is>
      </c>
      <c r="E250" s="3" t="inlineStr">
        <is>
          <t>LKR</t>
        </is>
      </c>
      <c r="F250" s="4" t="n">
        <v>75942.46000000001</v>
      </c>
      <c r="G250" s="3" t="inlineStr">
        <is>
          <t>USD</t>
        </is>
      </c>
      <c r="H250" s="4" t="n">
        <v>407.83</v>
      </c>
      <c r="I250" s="5" t="inlineStr">
        <is>
          <t>8900019132 EUUTPEUY UT 135 201889619-B196C</t>
        </is>
      </c>
      <c r="J250" s="3">
        <f>IF(C250="","",TODAY()-C250)</f>
        <v/>
      </c>
    </row>
    <row r="251">
      <c r="A251" s="5" t="inlineStr">
        <is>
          <t>XT0150</t>
        </is>
      </c>
      <c r="B251" s="3" t="inlineStr">
        <is>
          <t>63010012</t>
        </is>
      </c>
      <c r="C251" s="6" t="n">
        <v>44171</v>
      </c>
      <c r="D251" s="3" t="inlineStr">
        <is>
          <t>FZ</t>
        </is>
      </c>
      <c r="E251" s="3" t="inlineStr">
        <is>
          <t>LKR</t>
        </is>
      </c>
      <c r="F251" s="4" t="n">
        <v>75942.46000000001</v>
      </c>
      <c r="G251" s="3" t="inlineStr">
        <is>
          <t>USD</t>
        </is>
      </c>
      <c r="H251" s="4" t="n">
        <v>407.83</v>
      </c>
      <c r="I251" s="5" t="inlineStr">
        <is>
          <t>8900019133 EUUTPEUY UT 136 201889619-B196V</t>
        </is>
      </c>
      <c r="J251" s="3">
        <f>IF(C251="","",TODAY()-C251)</f>
        <v/>
      </c>
    </row>
    <row r="252">
      <c r="A252" s="5" t="inlineStr">
        <is>
          <t>XT0150</t>
        </is>
      </c>
      <c r="B252" s="3" t="inlineStr">
        <is>
          <t>63010012</t>
        </is>
      </c>
      <c r="C252" s="6" t="n">
        <v>44171</v>
      </c>
      <c r="D252" s="3" t="inlineStr">
        <is>
          <t>FZ</t>
        </is>
      </c>
      <c r="E252" s="3" t="inlineStr">
        <is>
          <t>LKR</t>
        </is>
      </c>
      <c r="F252" s="4" t="n">
        <v>317275</v>
      </c>
      <c r="G252" s="3" t="inlineStr">
        <is>
          <t>USD</t>
        </is>
      </c>
      <c r="H252" s="4" t="n">
        <v>1703.86</v>
      </c>
      <c r="I252" s="5" t="inlineStr">
        <is>
          <t>8900019134 EUUTPEUY UT 137 201889622-B226K</t>
        </is>
      </c>
      <c r="J252" s="3">
        <f>IF(C252="","",TODAY()-C252)</f>
        <v/>
      </c>
    </row>
    <row r="253">
      <c r="A253" s="5" t="inlineStr">
        <is>
          <t>XT0150</t>
        </is>
      </c>
      <c r="B253" s="3" t="inlineStr">
        <is>
          <t>63010012</t>
        </is>
      </c>
      <c r="C253" s="6" t="n">
        <v>44171</v>
      </c>
      <c r="D253" s="3" t="inlineStr">
        <is>
          <t>FZ</t>
        </is>
      </c>
      <c r="E253" s="3" t="inlineStr">
        <is>
          <t>LKR</t>
        </is>
      </c>
      <c r="F253" s="4" t="n">
        <v>75875</v>
      </c>
      <c r="G253" s="3" t="inlineStr">
        <is>
          <t>USD</t>
        </is>
      </c>
      <c r="H253" s="4" t="n">
        <v>407.47</v>
      </c>
      <c r="I253" s="5" t="inlineStr">
        <is>
          <t>8900019135 EUUTPEUY UT 138 201889622-B226J</t>
        </is>
      </c>
      <c r="J253" s="3">
        <f>IF(C253="","",TODAY()-C253)</f>
        <v/>
      </c>
    </row>
    <row r="254">
      <c r="A254" s="5" t="inlineStr">
        <is>
          <t>XT0150</t>
        </is>
      </c>
      <c r="B254" s="3" t="inlineStr">
        <is>
          <t>63010012</t>
        </is>
      </c>
      <c r="C254" s="6" t="n">
        <v>44171</v>
      </c>
      <c r="D254" s="3" t="inlineStr">
        <is>
          <t>FZ</t>
        </is>
      </c>
      <c r="E254" s="3" t="inlineStr">
        <is>
          <t>LKR</t>
        </is>
      </c>
      <c r="F254" s="4" t="n">
        <v>75875</v>
      </c>
      <c r="G254" s="3" t="inlineStr">
        <is>
          <t>USD</t>
        </is>
      </c>
      <c r="H254" s="4" t="n">
        <v>407.47</v>
      </c>
      <c r="I254" s="5" t="inlineStr">
        <is>
          <t>8900019136 EUUTPEUY UT 139 201889622-B226H</t>
        </is>
      </c>
      <c r="J254" s="3">
        <f>IF(C254="","",TODAY()-C254)</f>
        <v/>
      </c>
    </row>
    <row r="255">
      <c r="A255" s="5" t="inlineStr">
        <is>
          <t>XT0150</t>
        </is>
      </c>
      <c r="B255" s="3" t="inlineStr">
        <is>
          <t>63010012</t>
        </is>
      </c>
      <c r="C255" s="6" t="n">
        <v>44171</v>
      </c>
      <c r="D255" s="3" t="inlineStr">
        <is>
          <t>FZ</t>
        </is>
      </c>
      <c r="E255" s="3" t="inlineStr">
        <is>
          <t>LKR</t>
        </is>
      </c>
      <c r="F255" s="4" t="n">
        <v>61475</v>
      </c>
      <c r="G255" s="3" t="inlineStr">
        <is>
          <t>USD</t>
        </is>
      </c>
      <c r="H255" s="4" t="n">
        <v>330.14</v>
      </c>
      <c r="I255" s="5" t="inlineStr">
        <is>
          <t>8900019137 EUUTPEUY UT 140 201889622-B226G</t>
        </is>
      </c>
      <c r="J255" s="3">
        <f>IF(C255="","",TODAY()-C255)</f>
        <v/>
      </c>
    </row>
    <row r="256">
      <c r="A256" s="5" t="inlineStr">
        <is>
          <t>XT0150</t>
        </is>
      </c>
      <c r="B256" s="3" t="inlineStr">
        <is>
          <t>63010012</t>
        </is>
      </c>
      <c r="C256" s="6" t="n">
        <v>44171</v>
      </c>
      <c r="D256" s="3" t="inlineStr">
        <is>
          <t>FZ</t>
        </is>
      </c>
      <c r="E256" s="3" t="inlineStr">
        <is>
          <t>LKR</t>
        </is>
      </c>
      <c r="F256" s="4" t="n">
        <v>178815</v>
      </c>
      <c r="G256" s="3" t="inlineStr">
        <is>
          <t>USD</t>
        </is>
      </c>
      <c r="H256" s="4" t="n">
        <v>960.29</v>
      </c>
      <c r="I256" s="5" t="inlineStr">
        <is>
          <t>8900019141 EUUTPEUY UT 141 201889623-B236L</t>
        </is>
      </c>
      <c r="J256" s="3">
        <f>IF(C256="","",TODAY()-C256)</f>
        <v/>
      </c>
    </row>
    <row r="257">
      <c r="A257" s="5" t="inlineStr">
        <is>
          <t>XT0150</t>
        </is>
      </c>
      <c r="B257" s="3" t="inlineStr">
        <is>
          <t>63010012</t>
        </is>
      </c>
      <c r="C257" s="6" t="n">
        <v>44171</v>
      </c>
      <c r="D257" s="3" t="inlineStr">
        <is>
          <t>FZ</t>
        </is>
      </c>
      <c r="E257" s="3" t="inlineStr">
        <is>
          <t>LKR</t>
        </is>
      </c>
      <c r="F257" s="4" t="n">
        <v>91150</v>
      </c>
      <c r="G257" s="3" t="inlineStr">
        <is>
          <t>USD</t>
        </is>
      </c>
      <c r="H257" s="4" t="n">
        <v>489.5</v>
      </c>
      <c r="I257" s="5" t="inlineStr">
        <is>
          <t>8900019142 EUUTPEUY UT 142 201889623-B236K</t>
        </is>
      </c>
      <c r="J257" s="3">
        <f>IF(C257="","",TODAY()-C257)</f>
        <v/>
      </c>
    </row>
    <row r="258">
      <c r="A258" s="5" t="inlineStr">
        <is>
          <t>XT0150</t>
        </is>
      </c>
      <c r="B258" s="3" t="inlineStr">
        <is>
          <t>63010012</t>
        </is>
      </c>
      <c r="C258" s="6" t="n">
        <v>44171</v>
      </c>
      <c r="D258" s="3" t="inlineStr">
        <is>
          <t>FZ</t>
        </is>
      </c>
      <c r="E258" s="3" t="inlineStr">
        <is>
          <t>LKR</t>
        </is>
      </c>
      <c r="F258" s="4" t="n">
        <v>1878.77</v>
      </c>
      <c r="G258" s="3" t="inlineStr">
        <is>
          <t>USD</t>
        </is>
      </c>
      <c r="H258" s="4" t="n">
        <v>10.09</v>
      </c>
      <c r="I258" s="5" t="inlineStr">
        <is>
          <t>8900019143 EUUTPEUY UT 143 201889623-B236J</t>
        </is>
      </c>
      <c r="J258" s="3">
        <f>IF(C258="","",TODAY()-C258)</f>
        <v/>
      </c>
    </row>
    <row r="259">
      <c r="A259" s="5" t="inlineStr">
        <is>
          <t>XT0150</t>
        </is>
      </c>
      <c r="B259" s="3" t="inlineStr">
        <is>
          <t>63010012</t>
        </is>
      </c>
      <c r="C259" s="6" t="n">
        <v>44171</v>
      </c>
      <c r="D259" s="3" t="inlineStr">
        <is>
          <t>FZ</t>
        </is>
      </c>
      <c r="E259" s="3" t="inlineStr">
        <is>
          <t>LKR</t>
        </is>
      </c>
      <c r="F259" s="4" t="n">
        <v>4458.31</v>
      </c>
      <c r="G259" s="3" t="inlineStr">
        <is>
          <t>USD</t>
        </is>
      </c>
      <c r="H259" s="4" t="n">
        <v>23.94</v>
      </c>
      <c r="I259" s="5" t="inlineStr">
        <is>
          <t>8900019149 EUUTPEUY UT 145 201889623-B236V</t>
        </is>
      </c>
      <c r="J259" s="3">
        <f>IF(C259="","",TODAY()-C259)</f>
        <v/>
      </c>
    </row>
    <row r="260">
      <c r="A260" s="5" t="inlineStr">
        <is>
          <t>XT0150</t>
        </is>
      </c>
      <c r="B260" s="3" t="inlineStr">
        <is>
          <t>63010012</t>
        </is>
      </c>
      <c r="C260" s="6" t="n">
        <v>44171</v>
      </c>
      <c r="D260" s="3" t="inlineStr">
        <is>
          <t>FZ</t>
        </is>
      </c>
      <c r="E260" s="3" t="inlineStr">
        <is>
          <t>LKR</t>
        </is>
      </c>
      <c r="F260" s="4" t="n">
        <v>7650</v>
      </c>
      <c r="G260" s="3" t="inlineStr">
        <is>
          <t>USD</t>
        </is>
      </c>
      <c r="H260" s="4" t="n">
        <v>41.08</v>
      </c>
      <c r="I260" s="5" t="inlineStr">
        <is>
          <t>8900019150 EUUTPEUY UT 146 201889623-B236B</t>
        </is>
      </c>
      <c r="J260" s="3">
        <f>IF(C260="","",TODAY()-C260)</f>
        <v/>
      </c>
    </row>
    <row r="261">
      <c r="A261" s="5" t="inlineStr">
        <is>
          <t>XT0150</t>
        </is>
      </c>
      <c r="B261" s="3" t="inlineStr">
        <is>
          <t>63010012</t>
        </is>
      </c>
      <c r="C261" s="6" t="n">
        <v>44171</v>
      </c>
      <c r="D261" s="3" t="inlineStr">
        <is>
          <t>FZ</t>
        </is>
      </c>
      <c r="E261" s="3" t="inlineStr">
        <is>
          <t>LKR</t>
        </is>
      </c>
      <c r="F261" s="4" t="n">
        <v>75875</v>
      </c>
      <c r="G261" s="3" t="inlineStr">
        <is>
          <t>USD</t>
        </is>
      </c>
      <c r="H261" s="4" t="n">
        <v>407.47</v>
      </c>
      <c r="I261" s="5" t="inlineStr">
        <is>
          <t>8900019158 EUUTPEUY UT 147 201889623-B236Q</t>
        </is>
      </c>
      <c r="J261" s="3">
        <f>IF(C261="","",TODAY()-C261)</f>
        <v/>
      </c>
    </row>
    <row r="262">
      <c r="A262" s="5" t="inlineStr">
        <is>
          <t>XT0150</t>
        </is>
      </c>
      <c r="B262" s="3" t="inlineStr">
        <is>
          <t>63010012</t>
        </is>
      </c>
      <c r="C262" s="6" t="n">
        <v>44171</v>
      </c>
      <c r="D262" s="3" t="inlineStr">
        <is>
          <t>FZ</t>
        </is>
      </c>
      <c r="E262" s="3" t="inlineStr">
        <is>
          <t>LKR</t>
        </is>
      </c>
      <c r="F262" s="4" t="n">
        <v>3135696.2</v>
      </c>
      <c r="G262" s="3" t="inlineStr">
        <is>
          <t>USD</t>
        </is>
      </c>
      <c r="H262" s="4" t="n">
        <v>16839.57</v>
      </c>
      <c r="I262" s="5" t="inlineStr">
        <is>
          <t>2600000622 2600000622 NTERCMPEUNY PEUYMENTS  FEU</t>
        </is>
      </c>
      <c r="J262" s="3">
        <f>IF(C262="","",TODAY()-C262)</f>
        <v/>
      </c>
    </row>
    <row r="263">
      <c r="A263" s="5" t="inlineStr">
        <is>
          <t>XT0150</t>
        </is>
      </c>
      <c r="B263" s="3" t="inlineStr">
        <is>
          <t>63010012</t>
        </is>
      </c>
      <c r="C263" s="6" t="n">
        <v>44171</v>
      </c>
      <c r="D263" s="3" t="inlineStr">
        <is>
          <t>FZ</t>
        </is>
      </c>
      <c r="E263" s="3" t="inlineStr">
        <is>
          <t>LKR</t>
        </is>
      </c>
      <c r="F263" s="4" t="n">
        <v>33264536.3</v>
      </c>
      <c r="G263" s="3" t="inlineStr">
        <is>
          <t>USD</t>
        </is>
      </c>
      <c r="H263" s="4" t="n">
        <v>178639.9</v>
      </c>
      <c r="I263" s="5" t="inlineStr">
        <is>
          <t>EURY JUNE 2020 EUUTPEUY UT EU04 SEULEURY JUNE 2020</t>
        </is>
      </c>
      <c r="J263" s="3">
        <f>IF(C263="","",TODAY()-C263)</f>
        <v/>
      </c>
    </row>
    <row r="264">
      <c r="A264" s="5" t="inlineStr">
        <is>
          <t>XT0150</t>
        </is>
      </c>
      <c r="B264" s="3" t="inlineStr">
        <is>
          <t>63010012</t>
        </is>
      </c>
      <c r="C264" s="6" t="n">
        <v>44171</v>
      </c>
      <c r="D264" s="3" t="inlineStr">
        <is>
          <t>FZ</t>
        </is>
      </c>
      <c r="E264" s="3" t="inlineStr">
        <is>
          <t>LKR</t>
        </is>
      </c>
      <c r="F264" s="4" t="n">
        <v>41529337.37</v>
      </c>
      <c r="G264" s="3" t="inlineStr">
        <is>
          <t>USD</t>
        </is>
      </c>
      <c r="H264" s="4" t="n">
        <v>223024.21</v>
      </c>
      <c r="I264" s="5" t="inlineStr">
        <is>
          <t>EURY JUNE 2020 EUUTPEUY UT EU05 SEULEURY JUNE 2020</t>
        </is>
      </c>
      <c r="J264" s="3">
        <f>IF(C264="","",TODAY()-C264)</f>
        <v/>
      </c>
    </row>
    <row r="265">
      <c r="A265" s="5" t="inlineStr">
        <is>
          <t>UN0100</t>
        </is>
      </c>
      <c r="B265" s="3" t="inlineStr">
        <is>
          <t>63010012</t>
        </is>
      </c>
      <c r="C265" s="6" t="n">
        <v>44141</v>
      </c>
      <c r="D265" s="3" t="inlineStr">
        <is>
          <t>FZ</t>
        </is>
      </c>
      <c r="E265" s="3" t="inlineStr">
        <is>
          <t>LKR</t>
        </is>
      </c>
      <c r="F265" s="4" t="n">
        <v>8974140.390000001</v>
      </c>
      <c r="G265" s="3" t="inlineStr">
        <is>
          <t>USD</t>
        </is>
      </c>
      <c r="H265" s="4" t="n">
        <v>48193.65</v>
      </c>
      <c r="I265" s="5" t="inlineStr">
        <is>
          <t>DNG SEUL JUN EUUTPEUY UT S20 EUBCDNG SEUL JUNE 2020</t>
        </is>
      </c>
      <c r="J265" s="3">
        <f>IF(C265="","",TODAY()-C265)</f>
        <v/>
      </c>
    </row>
    <row r="266">
      <c r="A266" s="5" t="inlineStr">
        <is>
          <t>XT0150</t>
        </is>
      </c>
      <c r="B266" s="3" t="inlineStr">
        <is>
          <t>63010012</t>
        </is>
      </c>
      <c r="C266" s="6" t="n">
        <v>44171</v>
      </c>
      <c r="D266" s="3" t="inlineStr">
        <is>
          <t>FZ</t>
        </is>
      </c>
      <c r="E266" s="3" t="inlineStr">
        <is>
          <t>LKR</t>
        </is>
      </c>
      <c r="F266" s="4" t="n">
        <v>21346794.34</v>
      </c>
      <c r="G266" s="3" t="inlineStr">
        <is>
          <t>USD</t>
        </is>
      </c>
      <c r="H266" s="4" t="n">
        <v>114638.28</v>
      </c>
      <c r="I266" s="5" t="n">
        <v/>
      </c>
      <c r="J266" s="3">
        <f>IF(C266="","",TODAY()-C266)</f>
        <v/>
      </c>
    </row>
    <row r="267">
      <c r="A267" s="5" t="inlineStr">
        <is>
          <t>UN0150</t>
        </is>
      </c>
      <c r="B267" s="3" t="inlineStr">
        <is>
          <t>63010012</t>
        </is>
      </c>
      <c r="C267" s="6" t="n">
        <v>44171</v>
      </c>
      <c r="D267" s="3" t="inlineStr">
        <is>
          <t>FZ</t>
        </is>
      </c>
      <c r="E267" s="3" t="inlineStr">
        <is>
          <t>LKR</t>
        </is>
      </c>
      <c r="F267" s="4" t="n">
        <v>18038698.1</v>
      </c>
      <c r="G267" s="3" t="inlineStr">
        <is>
          <t>USD</t>
        </is>
      </c>
      <c r="H267" s="4" t="n">
        <v>96872.88</v>
      </c>
      <c r="I267" s="5" t="inlineStr">
        <is>
          <t>NNREF EUBCNSFER T 001-270206-040 001-270206-040</t>
        </is>
      </c>
      <c r="J267" s="3">
        <f>IF(C267="","",TODAY()-C267)</f>
        <v/>
      </c>
    </row>
    <row r="268">
      <c r="A268" s="5" t="inlineStr">
        <is>
          <t>UN0100</t>
        </is>
      </c>
      <c r="B268" s="3" t="inlineStr">
        <is>
          <t>63010012</t>
        </is>
      </c>
      <c r="C268" s="6" t="n">
        <v>44141</v>
      </c>
      <c r="D268" s="3" t="inlineStr">
        <is>
          <t>FZ</t>
        </is>
      </c>
      <c r="E268" s="3" t="inlineStr">
        <is>
          <t>LKR</t>
        </is>
      </c>
      <c r="F268" s="4" t="n">
        <v>60000</v>
      </c>
      <c r="G268" s="3" t="inlineStr">
        <is>
          <t>USD</t>
        </is>
      </c>
      <c r="H268" s="4" t="n">
        <v>322.22</v>
      </c>
      <c r="I268" s="5" t="n">
        <v/>
      </c>
      <c r="J268" s="3">
        <f>IF(C268="","",TODAY()-C268)</f>
        <v/>
      </c>
    </row>
    <row r="269">
      <c r="A269" s="5" t="inlineStr">
        <is>
          <t>XT0150</t>
        </is>
      </c>
      <c r="B269" s="3" t="inlineStr">
        <is>
          <t>63010012</t>
        </is>
      </c>
      <c r="C269" s="6" t="n">
        <v>44171</v>
      </c>
      <c r="D269" s="3" t="inlineStr">
        <is>
          <t>FZ</t>
        </is>
      </c>
      <c r="E269" s="3" t="inlineStr">
        <is>
          <t>LKR</t>
        </is>
      </c>
      <c r="F269" s="4" t="n">
        <v>247250</v>
      </c>
      <c r="G269" s="3" t="inlineStr">
        <is>
          <t>USD</t>
        </is>
      </c>
      <c r="H269" s="4" t="n">
        <v>1327.8</v>
      </c>
      <c r="I269" s="5" t="inlineStr">
        <is>
          <t>PEUYMENTS EUUTPEUY UT EU09 PEUYMENTS</t>
        </is>
      </c>
      <c r="J269" s="3">
        <f>IF(C269="","",TODAY()-C269)</f>
        <v/>
      </c>
    </row>
    <row r="270">
      <c r="A270" s="5" t="inlineStr">
        <is>
          <t>UN0150</t>
        </is>
      </c>
      <c r="B270" s="3" t="inlineStr">
        <is>
          <t>63010012</t>
        </is>
      </c>
      <c r="C270" s="6" t="n">
        <v>44171</v>
      </c>
      <c r="D270" s="3" t="inlineStr">
        <is>
          <t>FZ</t>
        </is>
      </c>
      <c r="E270" s="3" t="inlineStr">
        <is>
          <t>LKR</t>
        </is>
      </c>
      <c r="F270" s="4" t="n">
        <v>8562472.4</v>
      </c>
      <c r="G270" s="3" t="inlineStr">
        <is>
          <t>USD</t>
        </is>
      </c>
      <c r="H270" s="4" t="n">
        <v>45982.88</v>
      </c>
      <c r="I270" s="5" t="n">
        <v/>
      </c>
      <c r="J270" s="3">
        <f>IF(C270="","",TODAY()-C270)</f>
        <v/>
      </c>
    </row>
    <row r="271">
      <c r="A271" s="5" t="inlineStr">
        <is>
          <t>UN0100</t>
        </is>
      </c>
      <c r="B271" s="3" t="inlineStr">
        <is>
          <t>63010012</t>
        </is>
      </c>
      <c r="C271" s="6" t="n">
        <v>44141</v>
      </c>
      <c r="D271" s="3" t="inlineStr">
        <is>
          <t>FZ</t>
        </is>
      </c>
      <c r="E271" s="3" t="inlineStr">
        <is>
          <t>LKR</t>
        </is>
      </c>
      <c r="F271" s="4" t="n">
        <v>10826911.6</v>
      </c>
      <c r="G271" s="3" t="inlineStr">
        <is>
          <t>USD</t>
        </is>
      </c>
      <c r="H271" s="4" t="n">
        <v>58143.56</v>
      </c>
      <c r="I271" s="5" t="n">
        <v/>
      </c>
      <c r="J271" s="3">
        <f>IF(C271="","",TODAY()-C271)</f>
        <v/>
      </c>
    </row>
    <row r="272">
      <c r="A272" s="5" t="inlineStr">
        <is>
          <t>UN0150</t>
        </is>
      </c>
      <c r="B272" s="3" t="inlineStr">
        <is>
          <t>63010012</t>
        </is>
      </c>
      <c r="C272" s="6" t="n">
        <v>44171</v>
      </c>
      <c r="D272" s="3" t="inlineStr">
        <is>
          <t>FZ</t>
        </is>
      </c>
      <c r="E272" s="3" t="inlineStr">
        <is>
          <t>LKR</t>
        </is>
      </c>
      <c r="F272" s="4" t="n">
        <v>1346.73</v>
      </c>
      <c r="G272" s="3" t="inlineStr">
        <is>
          <t>USD</t>
        </is>
      </c>
      <c r="H272" s="4" t="n">
        <v>7.4</v>
      </c>
      <c r="I272" s="5" t="inlineStr">
        <is>
          <t>210310 CLEEURNG CHEQUES</t>
        </is>
      </c>
      <c r="J272" s="3">
        <f>IF(C272="","",TODAY()-C272)</f>
        <v/>
      </c>
    </row>
    <row r="273">
      <c r="A273" s="5" t="inlineStr">
        <is>
          <t>UN0150</t>
        </is>
      </c>
      <c r="B273" s="3" t="inlineStr">
        <is>
          <t>63010012</t>
        </is>
      </c>
      <c r="C273" s="6" t="n">
        <v>44171</v>
      </c>
      <c r="D273" s="3" t="inlineStr">
        <is>
          <t>FZ</t>
        </is>
      </c>
      <c r="E273" s="3" t="inlineStr">
        <is>
          <t>LKR</t>
        </is>
      </c>
      <c r="F273" s="4" t="n">
        <v>4822.51</v>
      </c>
      <c r="G273" s="3" t="inlineStr">
        <is>
          <t>USD</t>
        </is>
      </c>
      <c r="H273" s="4" t="n">
        <v>26.5</v>
      </c>
      <c r="I273" s="5" t="inlineStr">
        <is>
          <t>210311 CLEEURNG CHEQUES</t>
        </is>
      </c>
      <c r="J273" s="3">
        <f>IF(C273="","",TODAY()-C273)</f>
        <v/>
      </c>
    </row>
    <row r="274">
      <c r="A274" s="5" t="inlineStr">
        <is>
          <t>UN0150</t>
        </is>
      </c>
      <c r="B274" s="3" t="inlineStr">
        <is>
          <t>63010012</t>
        </is>
      </c>
      <c r="C274" s="6" t="n">
        <v>44171</v>
      </c>
      <c r="D274" s="3" t="inlineStr">
        <is>
          <t>FZ</t>
        </is>
      </c>
      <c r="E274" s="3" t="inlineStr">
        <is>
          <t>LKR</t>
        </is>
      </c>
      <c r="F274" s="4" t="n">
        <v>70910.34</v>
      </c>
      <c r="G274" s="3" t="inlineStr">
        <is>
          <t>USD</t>
        </is>
      </c>
      <c r="H274" s="4" t="n">
        <v>371.82</v>
      </c>
      <c r="I274" s="5" t="inlineStr">
        <is>
          <t>210383 CLEEURNG CHEQUES</t>
        </is>
      </c>
      <c r="J274" s="3">
        <f>IF(C274="","",TODAY()-C274)</f>
        <v/>
      </c>
    </row>
    <row r="275">
      <c r="A275" s="5" t="inlineStr">
        <is>
          <t>UN0150</t>
        </is>
      </c>
      <c r="B275" s="3" t="inlineStr">
        <is>
          <t>63010012</t>
        </is>
      </c>
      <c r="C275" s="6" t="n">
        <v>44171</v>
      </c>
      <c r="D275" s="3" t="inlineStr">
        <is>
          <t>FZ</t>
        </is>
      </c>
      <c r="E275" s="3" t="inlineStr">
        <is>
          <t>LKR</t>
        </is>
      </c>
      <c r="F275" s="4" t="n">
        <v>850999</v>
      </c>
      <c r="G275" s="3" t="inlineStr">
        <is>
          <t>USD</t>
        </is>
      </c>
      <c r="H275" s="4" t="n">
        <v>4462.27</v>
      </c>
      <c r="I275" s="5" t="inlineStr">
        <is>
          <t>210393 CLEEURNG CHEQUES</t>
        </is>
      </c>
      <c r="J275" s="3">
        <f>IF(C275="","",TODAY()-C275)</f>
        <v/>
      </c>
    </row>
    <row r="276">
      <c r="A276" s="5" t="inlineStr">
        <is>
          <t>UN0100</t>
        </is>
      </c>
      <c r="B276" s="3" t="inlineStr">
        <is>
          <t>63010012</t>
        </is>
      </c>
      <c r="C276" s="6" t="n">
        <v>44141</v>
      </c>
      <c r="D276" s="3" t="inlineStr">
        <is>
          <t>FZ</t>
        </is>
      </c>
      <c r="E276" s="3" t="inlineStr">
        <is>
          <t>LKR</t>
        </is>
      </c>
      <c r="F276" s="4" t="n">
        <v>16178.72</v>
      </c>
      <c r="G276" s="3" t="inlineStr">
        <is>
          <t>USD</t>
        </is>
      </c>
      <c r="H276" s="4" t="n">
        <v>86.88</v>
      </c>
      <c r="I276" s="5" t="inlineStr">
        <is>
          <t>EBT NTEREST 23JUN2017 T 25JUN2020</t>
        </is>
      </c>
      <c r="J276" s="3">
        <f>IF(C276="","",TODAY()-C276)</f>
        <v/>
      </c>
    </row>
    <row r="277">
      <c r="A277" s="5" t="inlineStr">
        <is>
          <t>XT0150</t>
        </is>
      </c>
      <c r="B277" s="3" t="inlineStr">
        <is>
          <t>63010012</t>
        </is>
      </c>
      <c r="C277" s="6" t="n">
        <v>44171</v>
      </c>
      <c r="D277" s="3" t="inlineStr">
        <is>
          <t>FZ</t>
        </is>
      </c>
      <c r="E277" s="3" t="inlineStr">
        <is>
          <t>LKR</t>
        </is>
      </c>
      <c r="F277" s="4" t="n">
        <v>65000000</v>
      </c>
      <c r="G277" s="3" t="inlineStr">
        <is>
          <t>USD</t>
        </is>
      </c>
      <c r="H277" s="4" t="n">
        <v>349068.26</v>
      </c>
      <c r="I277" s="5" t="n">
        <v/>
      </c>
      <c r="J277" s="3">
        <f>IF(C277="","",TODAY()-C277)</f>
        <v/>
      </c>
    </row>
    <row r="278">
      <c r="A278" s="5" t="inlineStr">
        <is>
          <t>XT0150</t>
        </is>
      </c>
      <c r="B278" s="3" t="inlineStr">
        <is>
          <t>63010012</t>
        </is>
      </c>
      <c r="C278" s="6" t="n">
        <v>44171</v>
      </c>
      <c r="D278" s="3" t="inlineStr">
        <is>
          <t>FZ</t>
        </is>
      </c>
      <c r="E278" s="3" t="inlineStr">
        <is>
          <t>LKR</t>
        </is>
      </c>
      <c r="F278" s="4" t="n">
        <v>30940294.34</v>
      </c>
      <c r="G278" s="3" t="inlineStr">
        <is>
          <t>USD</t>
        </is>
      </c>
      <c r="H278" s="4" t="n">
        <v>166158.07</v>
      </c>
      <c r="I278" s="5" t="inlineStr">
        <is>
          <t>NNREF EUBCNSFER T 001-056936-040 001-056936-040</t>
        </is>
      </c>
      <c r="J278" s="3">
        <f>IF(C278="","",TODAY()-C278)</f>
        <v/>
      </c>
    </row>
    <row r="279">
      <c r="A279" s="5" t="inlineStr">
        <is>
          <t>UN0150</t>
        </is>
      </c>
      <c r="B279" s="3" t="inlineStr">
        <is>
          <t>63010012</t>
        </is>
      </c>
      <c r="C279" s="6" t="n">
        <v>44171</v>
      </c>
      <c r="D279" s="3" t="inlineStr">
        <is>
          <t>FZ</t>
        </is>
      </c>
      <c r="E279" s="3" t="inlineStr">
        <is>
          <t>LKR</t>
        </is>
      </c>
      <c r="F279" s="4" t="n">
        <v>17196369.52</v>
      </c>
      <c r="G279" s="3" t="inlineStr">
        <is>
          <t>USD</t>
        </is>
      </c>
      <c r="H279" s="4" t="n">
        <v>92349.33</v>
      </c>
      <c r="I279" s="5" t="inlineStr">
        <is>
          <t>NNREF EUBCNSFER T 001-270206-040 001-270206-040</t>
        </is>
      </c>
      <c r="J279" s="3">
        <f>IF(C279="","",TODAY()-C279)</f>
        <v/>
      </c>
    </row>
    <row r="280">
      <c r="A280" s="5" t="inlineStr">
        <is>
          <t>UN0150</t>
        </is>
      </c>
      <c r="B280" s="3" t="inlineStr">
        <is>
          <t>63010012</t>
        </is>
      </c>
      <c r="C280" s="6" t="n">
        <v>44171</v>
      </c>
      <c r="D280" s="3" t="inlineStr">
        <is>
          <t>FZ</t>
        </is>
      </c>
      <c r="E280" s="3" t="inlineStr">
        <is>
          <t>LKR</t>
        </is>
      </c>
      <c r="F280" s="4" t="n">
        <v>3424.2</v>
      </c>
      <c r="G280" s="3" t="inlineStr">
        <is>
          <t>USD</t>
        </is>
      </c>
      <c r="H280" s="4" t="n">
        <v>18.39</v>
      </c>
      <c r="I280" s="5" t="inlineStr">
        <is>
          <t>210406 CLEEURNG CHEQUES</t>
        </is>
      </c>
      <c r="J280" s="3">
        <f>IF(C280="","",TODAY()-C280)</f>
        <v/>
      </c>
    </row>
    <row r="281">
      <c r="A281" s="5" t="inlineStr">
        <is>
          <t>UN0100</t>
        </is>
      </c>
      <c r="B281" s="3" t="inlineStr">
        <is>
          <t>63010012</t>
        </is>
      </c>
      <c r="C281" s="6" t="n">
        <v>44141</v>
      </c>
      <c r="D281" s="3" t="inlineStr">
        <is>
          <t>FZ</t>
        </is>
      </c>
      <c r="E281" s="3" t="inlineStr">
        <is>
          <t>LKR</t>
        </is>
      </c>
      <c r="F281" s="4" t="n">
        <v>83818.48</v>
      </c>
      <c r="G281" s="3" t="inlineStr">
        <is>
          <t>USD</t>
        </is>
      </c>
      <c r="H281" s="4" t="n">
        <v>450.13</v>
      </c>
      <c r="I281" s="5" t="inlineStr">
        <is>
          <t>2600000270 2600000270 DHL KEELLS DLL LTD-LKR</t>
        </is>
      </c>
      <c r="J281" s="3">
        <f>IF(C281="","",TODAY()-C281)</f>
        <v/>
      </c>
    </row>
    <row r="282">
      <c r="A282" s="5" t="inlineStr">
        <is>
          <t>UN0100</t>
        </is>
      </c>
      <c r="B282" s="3" t="inlineStr">
        <is>
          <t>63010012</t>
        </is>
      </c>
      <c r="C282" s="6" t="n">
        <v>44141</v>
      </c>
      <c r="D282" s="3" t="inlineStr">
        <is>
          <t>FZ</t>
        </is>
      </c>
      <c r="E282" s="3" t="inlineStr">
        <is>
          <t>LKR</t>
        </is>
      </c>
      <c r="F282" s="4" t="n">
        <v>1661240.2</v>
      </c>
      <c r="G282" s="3" t="inlineStr">
        <is>
          <t>USD</t>
        </is>
      </c>
      <c r="H282" s="4" t="n">
        <v>8921.33</v>
      </c>
      <c r="I282" s="5" t="inlineStr">
        <is>
          <t>2600000271 2600000271 FREGHT PEUYMENTS EXPLEUNKEU F</t>
        </is>
      </c>
      <c r="J282" s="3">
        <f>IF(C282="","",TODAY()-C282)</f>
        <v/>
      </c>
    </row>
    <row r="283">
      <c r="A283" s="5" t="inlineStr">
        <is>
          <t>UN0150</t>
        </is>
      </c>
      <c r="B283" s="3" t="inlineStr">
        <is>
          <t>63010012</t>
        </is>
      </c>
      <c r="C283" s="6" t="n">
        <v>44171</v>
      </c>
      <c r="D283" s="3" t="inlineStr">
        <is>
          <t>FZ</t>
        </is>
      </c>
      <c r="E283" s="3" t="inlineStr">
        <is>
          <t>LKR</t>
        </is>
      </c>
      <c r="F283" s="4" t="n">
        <v>36583</v>
      </c>
      <c r="G283" s="3" t="inlineStr">
        <is>
          <t>USD</t>
        </is>
      </c>
      <c r="H283" s="4" t="n">
        <v>196.46</v>
      </c>
      <c r="I283" s="5" t="inlineStr">
        <is>
          <t>2600000567 2600000567 DHL KEELLS DLL LTD-LKR</t>
        </is>
      </c>
      <c r="J283" s="3">
        <f>IF(C283="","",TODAY()-C283)</f>
        <v/>
      </c>
    </row>
    <row r="284">
      <c r="A284" s="5" t="inlineStr">
        <is>
          <t>UN0150</t>
        </is>
      </c>
      <c r="B284" s="3" t="inlineStr">
        <is>
          <t>63010012</t>
        </is>
      </c>
      <c r="C284" s="6" t="n">
        <v>44171</v>
      </c>
      <c r="D284" s="3" t="inlineStr">
        <is>
          <t>FZ</t>
        </is>
      </c>
      <c r="E284" s="3" t="inlineStr">
        <is>
          <t>LKR</t>
        </is>
      </c>
      <c r="F284" s="4" t="n">
        <v>271755</v>
      </c>
      <c r="G284" s="3" t="inlineStr">
        <is>
          <t>USD</t>
        </is>
      </c>
      <c r="H284" s="4" t="n">
        <v>1459.4</v>
      </c>
      <c r="I284" s="5" t="inlineStr">
        <is>
          <t>2600000568 2600000568 FREGHT PEUYMENTS EXPLEUNKEU F</t>
        </is>
      </c>
      <c r="J284" s="3">
        <f>IF(C284="","",TODAY()-C284)</f>
        <v/>
      </c>
    </row>
    <row r="285">
      <c r="A285" s="7" t="n"/>
      <c r="B285" s="7" t="n"/>
      <c r="C285" s="7" t="n"/>
      <c r="D285" s="7" t="n"/>
      <c r="E285" s="7" t="n"/>
      <c r="F285" s="8">
        <f>SUM(F4:F284)</f>
        <v/>
      </c>
      <c r="G285" s="7" t="n"/>
      <c r="H285" s="8">
        <f>SUM(H4:H284)</f>
        <v/>
      </c>
      <c r="I285" s="7" t="n"/>
      <c r="J285" s="7" t="n"/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1" customWidth="1" min="9" max="9"/>
    <col width="26" customWidth="1" min="10" max="10"/>
  </cols>
  <sheetData>
    <row r="1"/>
    <row r="2">
      <c r="A2" s="1" t="inlineStr">
        <is>
          <t>Account: 63010061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63010061</t>
        </is>
      </c>
      <c r="C4" s="6" t="n">
        <v>43836</v>
      </c>
      <c r="D4" s="3" t="inlineStr">
        <is>
          <t>FZ</t>
        </is>
      </c>
      <c r="E4" s="3" t="inlineStr">
        <is>
          <t>HKD</t>
        </is>
      </c>
      <c r="F4" s="4" t="n">
        <v>-1800000</v>
      </c>
      <c r="G4" s="3" t="inlineStr">
        <is>
          <t>USD</t>
        </is>
      </c>
      <c r="H4" s="4" t="n">
        <v>-232183.17</v>
      </c>
      <c r="I4" s="5" t="inlineStr">
        <is>
          <t>E2018895280009 NTERCMPEUNY EUBCNSFER PEUYMENT RGN</t>
        </is>
      </c>
      <c r="J4" s="3">
        <f>IF(C4="","",TODAY()-C4)</f>
        <v/>
      </c>
    </row>
    <row r="5">
      <c r="A5" s="7" t="n"/>
      <c r="B5" s="7" t="n"/>
      <c r="C5" s="7" t="n"/>
      <c r="D5" s="7" t="n"/>
      <c r="E5" s="7" t="n"/>
      <c r="F5" s="8">
        <f>SUM(F4:F4)</f>
        <v/>
      </c>
      <c r="G5" s="7" t="n"/>
      <c r="H5" s="8">
        <f>SUM(H4:H4)</f>
        <v/>
      </c>
      <c r="I5" s="7" t="n"/>
      <c r="J5" s="7" t="n"/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48" customWidth="1" min="9" max="9"/>
    <col width="26" customWidth="1" min="10" max="10"/>
  </cols>
  <sheetData>
    <row r="1"/>
    <row r="2">
      <c r="A2" s="1" t="inlineStr">
        <is>
          <t>Account: 63010101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63010101</t>
        </is>
      </c>
      <c r="C4" s="6" t="n">
        <v>43836</v>
      </c>
      <c r="D4" s="3" t="inlineStr">
        <is>
          <t>FZ</t>
        </is>
      </c>
      <c r="E4" s="3" t="inlineStr">
        <is>
          <t>EUR</t>
        </is>
      </c>
      <c r="F4" s="4" t="n">
        <v>-38292.35</v>
      </c>
      <c r="G4" s="3" t="inlineStr">
        <is>
          <t>USD</t>
        </is>
      </c>
      <c r="H4" s="4" t="n">
        <v>-42623.21</v>
      </c>
      <c r="I4" s="5" t="inlineStr">
        <is>
          <t>NNREF STEUNDNG NSTRUCTN 001 TUNF FM/T 094 LK F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63010101</t>
        </is>
      </c>
      <c r="C5" s="6" t="n">
        <v>43896</v>
      </c>
      <c r="D5" s="3" t="inlineStr">
        <is>
          <t>FZ</t>
        </is>
      </c>
      <c r="E5" s="3" t="inlineStr">
        <is>
          <t>EUR</t>
        </is>
      </c>
      <c r="F5" s="4" t="n">
        <v>-254.83</v>
      </c>
      <c r="G5" s="3" t="inlineStr">
        <is>
          <t>USD</t>
        </is>
      </c>
      <c r="H5" s="4" t="n">
        <v>-283.65</v>
      </c>
      <c r="I5" s="5" t="inlineStr">
        <is>
          <t>NNREF STEUNDNG NSTRUCTN 001 TUNF FM/T 094 LK F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63010101</t>
        </is>
      </c>
      <c r="C6" s="6" t="n">
        <v>43927</v>
      </c>
      <c r="D6" s="3" t="inlineStr">
        <is>
          <t>FZ</t>
        </is>
      </c>
      <c r="E6" s="3" t="inlineStr">
        <is>
          <t>EUR</t>
        </is>
      </c>
      <c r="F6" s="4" t="n">
        <v>-2439.95</v>
      </c>
      <c r="G6" s="3" t="inlineStr">
        <is>
          <t>USD</t>
        </is>
      </c>
      <c r="H6" s="4" t="n">
        <v>-2715.91</v>
      </c>
      <c r="I6" s="5" t="inlineStr">
        <is>
          <t>NNREF STEUNDNG NSTRUCTN 001 TUNF FM/T 094 LK F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63010101</t>
        </is>
      </c>
      <c r="C7" s="6" t="n">
        <v>44049</v>
      </c>
      <c r="D7" s="3" t="inlineStr">
        <is>
          <t>FZ</t>
        </is>
      </c>
      <c r="E7" s="3" t="inlineStr">
        <is>
          <t>EUR</t>
        </is>
      </c>
      <c r="F7" s="4" t="n">
        <v>-791.88</v>
      </c>
      <c r="G7" s="3" t="inlineStr">
        <is>
          <t>USD</t>
        </is>
      </c>
      <c r="H7" s="4" t="n">
        <v>-881.4400000000001</v>
      </c>
      <c r="I7" s="5" t="inlineStr">
        <is>
          <t>NNREF STEUNDNG NSTRUCTN 001 TUNF FM/T 094 LK F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63010101</t>
        </is>
      </c>
      <c r="C8" s="6" t="n">
        <v>44049</v>
      </c>
      <c r="D8" s="3" t="inlineStr">
        <is>
          <t>FZ</t>
        </is>
      </c>
      <c r="E8" s="3" t="inlineStr">
        <is>
          <t>EUR</t>
        </is>
      </c>
      <c r="F8" s="4" t="n">
        <v>-8250.98</v>
      </c>
      <c r="G8" s="3" t="inlineStr">
        <is>
          <t>USD</t>
        </is>
      </c>
      <c r="H8" s="4" t="n">
        <v>-9184.17</v>
      </c>
      <c r="I8" s="5" t="inlineStr">
        <is>
          <t>NNREF STEUNDNG NSTRUCTN 001 TUNF FM/T 094 LK F</t>
        </is>
      </c>
      <c r="J8" s="3">
        <f>IF(C8="","",TODAY()-C8)</f>
        <v/>
      </c>
    </row>
    <row r="9">
      <c r="A9" s="7" t="n"/>
      <c r="B9" s="7" t="n"/>
      <c r="C9" s="7" t="n"/>
      <c r="D9" s="7" t="n"/>
      <c r="E9" s="7" t="n"/>
      <c r="F9" s="8">
        <f>SUM(F4:F8)</f>
        <v/>
      </c>
      <c r="G9" s="7" t="n"/>
      <c r="H9" s="8">
        <f>SUM(H4:H8)</f>
        <v/>
      </c>
      <c r="I9" s="7" t="n"/>
      <c r="J9" s="7" t="n"/>
    </row>
  </sheetData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49" customWidth="1" min="9" max="9"/>
    <col width="28" customWidth="1" min="10" max="10"/>
  </cols>
  <sheetData>
    <row r="1"/>
    <row r="2">
      <c r="A2" s="1" t="inlineStr">
        <is>
          <t>Account: 63010162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UN0100</t>
        </is>
      </c>
      <c r="B4" s="3" t="inlineStr">
        <is>
          <t>63010162</t>
        </is>
      </c>
      <c r="C4" s="6" t="n">
        <v>43896</v>
      </c>
      <c r="D4" s="3" t="inlineStr">
        <is>
          <t>FZ</t>
        </is>
      </c>
      <c r="E4" s="3" t="inlineStr">
        <is>
          <t>USD</t>
        </is>
      </c>
      <c r="F4" s="4" t="n">
        <v>88414.50999999999</v>
      </c>
      <c r="G4" s="3" t="inlineStr">
        <is>
          <t>USD</t>
        </is>
      </c>
      <c r="H4" s="4" t="n">
        <v>88414.50999999999</v>
      </c>
      <c r="I4" s="5" t="inlineStr">
        <is>
          <t>UNFN218996FCB LEUT-PVH</t>
        </is>
      </c>
      <c r="J4" s="3">
        <f>IF(C4="","",TODAY()-C4)</f>
        <v/>
      </c>
    </row>
    <row r="5">
      <c r="A5" s="5" t="inlineStr">
        <is>
          <t>UN0100</t>
        </is>
      </c>
      <c r="B5" s="3" t="inlineStr">
        <is>
          <t>63010162</t>
        </is>
      </c>
      <c r="C5" s="6" t="n">
        <v>43896</v>
      </c>
      <c r="D5" s="3" t="inlineStr">
        <is>
          <t>FZ</t>
        </is>
      </c>
      <c r="E5" s="3" t="inlineStr">
        <is>
          <t>USD</t>
        </is>
      </c>
      <c r="F5" s="4" t="n">
        <v>14879.8</v>
      </c>
      <c r="G5" s="3" t="inlineStr">
        <is>
          <t>USD</t>
        </is>
      </c>
      <c r="H5" s="4" t="n">
        <v>14879.8</v>
      </c>
      <c r="I5" s="5" t="inlineStr">
        <is>
          <t>UNFN214935FCB LEUT-PVH</t>
        </is>
      </c>
      <c r="J5" s="3">
        <f>IF(C5="","",TODAY()-C5)</f>
        <v/>
      </c>
    </row>
    <row r="6">
      <c r="A6" s="5" t="inlineStr">
        <is>
          <t>UN0100</t>
        </is>
      </c>
      <c r="B6" s="3" t="inlineStr">
        <is>
          <t>63010162</t>
        </is>
      </c>
      <c r="C6" s="6" t="n">
        <v>43896</v>
      </c>
      <c r="D6" s="3" t="inlineStr">
        <is>
          <t>FZ</t>
        </is>
      </c>
      <c r="E6" s="3" t="inlineStr">
        <is>
          <t>USD</t>
        </is>
      </c>
      <c r="F6" s="4" t="n">
        <v>1539.12</v>
      </c>
      <c r="G6" s="3" t="inlineStr">
        <is>
          <t>USD</t>
        </is>
      </c>
      <c r="H6" s="4" t="n">
        <v>1539.12</v>
      </c>
      <c r="I6" s="5" t="inlineStr">
        <is>
          <t>UNFN214936FCB LEUT-PVH</t>
        </is>
      </c>
      <c r="J6" s="3">
        <f>IF(C6="","",TODAY()-C6)</f>
        <v/>
      </c>
    </row>
    <row r="7">
      <c r="A7" s="5" t="inlineStr">
        <is>
          <t>UN0100</t>
        </is>
      </c>
      <c r="B7" s="3" t="inlineStr">
        <is>
          <t>63010162</t>
        </is>
      </c>
      <c r="C7" s="6" t="n">
        <v>43896</v>
      </c>
      <c r="D7" s="3" t="inlineStr">
        <is>
          <t>FZ</t>
        </is>
      </c>
      <c r="E7" s="3" t="inlineStr">
        <is>
          <t>USD</t>
        </is>
      </c>
      <c r="F7" s="4" t="n">
        <v>1335.54</v>
      </c>
      <c r="G7" s="3" t="inlineStr">
        <is>
          <t>USD</t>
        </is>
      </c>
      <c r="H7" s="4" t="n">
        <v>1335.54</v>
      </c>
      <c r="I7" s="5" t="inlineStr">
        <is>
          <t>UNFN214939FCB LEUT-PVH</t>
        </is>
      </c>
      <c r="J7" s="3">
        <f>IF(C7="","",TODAY()-C7)</f>
        <v/>
      </c>
    </row>
    <row r="8">
      <c r="A8" s="5" t="inlineStr">
        <is>
          <t>UN0100</t>
        </is>
      </c>
      <c r="B8" s="3" t="inlineStr">
        <is>
          <t>63010162</t>
        </is>
      </c>
      <c r="C8" s="6" t="n">
        <v>43896</v>
      </c>
      <c r="D8" s="3" t="inlineStr">
        <is>
          <t>FZ</t>
        </is>
      </c>
      <c r="E8" s="3" t="inlineStr">
        <is>
          <t>USD</t>
        </is>
      </c>
      <c r="F8" s="4" t="n">
        <v>4575</v>
      </c>
      <c r="G8" s="3" t="inlineStr">
        <is>
          <t>USD</t>
        </is>
      </c>
      <c r="H8" s="4" t="n">
        <v>4575</v>
      </c>
      <c r="I8" s="5" t="inlineStr">
        <is>
          <t>UNFN214941FCB LEUT-PVH</t>
        </is>
      </c>
      <c r="J8" s="3">
        <f>IF(C8="","",TODAY()-C8)</f>
        <v/>
      </c>
    </row>
    <row r="9">
      <c r="A9" s="5" t="inlineStr">
        <is>
          <t>UN0100</t>
        </is>
      </c>
      <c r="B9" s="3" t="inlineStr">
        <is>
          <t>63010162</t>
        </is>
      </c>
      <c r="C9" s="6" t="n">
        <v>43896</v>
      </c>
      <c r="D9" s="3" t="inlineStr">
        <is>
          <t>FZ</t>
        </is>
      </c>
      <c r="E9" s="3" t="inlineStr">
        <is>
          <t>USD</t>
        </is>
      </c>
      <c r="F9" s="4" t="n">
        <v>1424.28</v>
      </c>
      <c r="G9" s="3" t="inlineStr">
        <is>
          <t>USD</t>
        </is>
      </c>
      <c r="H9" s="4" t="n">
        <v>1424.28</v>
      </c>
      <c r="I9" s="5" t="inlineStr">
        <is>
          <t>UNFN214943FCB LEUT-PVH</t>
        </is>
      </c>
      <c r="J9" s="3">
        <f>IF(C9="","",TODAY()-C9)</f>
        <v/>
      </c>
    </row>
    <row r="10">
      <c r="A10" s="5" t="inlineStr">
        <is>
          <t>UN0100</t>
        </is>
      </c>
      <c r="B10" s="3" t="inlineStr">
        <is>
          <t>63010162</t>
        </is>
      </c>
      <c r="C10" s="6" t="n">
        <v>43896</v>
      </c>
      <c r="D10" s="3" t="inlineStr">
        <is>
          <t>FZ</t>
        </is>
      </c>
      <c r="E10" s="3" t="inlineStr">
        <is>
          <t>USD</t>
        </is>
      </c>
      <c r="F10" s="4" t="n">
        <v>61531.78</v>
      </c>
      <c r="G10" s="3" t="inlineStr">
        <is>
          <t>USD</t>
        </is>
      </c>
      <c r="H10" s="4" t="n">
        <v>61531.78</v>
      </c>
      <c r="I10" s="5" t="n">
        <v/>
      </c>
      <c r="J10" s="3">
        <f>IF(C10="","",TODAY()-C10)</f>
        <v/>
      </c>
    </row>
    <row r="11">
      <c r="A11" s="5" t="inlineStr">
        <is>
          <t>UN0100</t>
        </is>
      </c>
      <c r="B11" s="3" t="inlineStr">
        <is>
          <t>63010162</t>
        </is>
      </c>
      <c r="C11" s="6" t="n">
        <v>43896</v>
      </c>
      <c r="D11" s="3" t="inlineStr">
        <is>
          <t>FZ</t>
        </is>
      </c>
      <c r="E11" s="3" t="inlineStr">
        <is>
          <t>USD</t>
        </is>
      </c>
      <c r="F11" s="4" t="n">
        <v>6714.03</v>
      </c>
      <c r="G11" s="3" t="inlineStr">
        <is>
          <t>USD</t>
        </is>
      </c>
      <c r="H11" s="4" t="n">
        <v>6714.03</v>
      </c>
      <c r="I11" s="5" t="n">
        <v/>
      </c>
      <c r="J11" s="3">
        <f>IF(C11="","",TODAY()-C11)</f>
        <v/>
      </c>
    </row>
    <row r="12">
      <c r="A12" s="5" t="inlineStr">
        <is>
          <t>UN0100</t>
        </is>
      </c>
      <c r="B12" s="3" t="inlineStr">
        <is>
          <t>63010162</t>
        </is>
      </c>
      <c r="C12" s="6" t="n">
        <v>43896</v>
      </c>
      <c r="D12" s="3" t="inlineStr">
        <is>
          <t>FZ</t>
        </is>
      </c>
      <c r="E12" s="3" t="inlineStr">
        <is>
          <t>USD</t>
        </is>
      </c>
      <c r="F12" s="4" t="n">
        <v>5099.85</v>
      </c>
      <c r="G12" s="3" t="inlineStr">
        <is>
          <t>USD</t>
        </is>
      </c>
      <c r="H12" s="4" t="n">
        <v>5099.85</v>
      </c>
      <c r="I12" s="5" t="n">
        <v/>
      </c>
      <c r="J12" s="3">
        <f>IF(C12="","",TODAY()-C12)</f>
        <v/>
      </c>
    </row>
    <row r="13">
      <c r="A13" s="5" t="inlineStr">
        <is>
          <t>UN0100</t>
        </is>
      </c>
      <c r="B13" s="3" t="inlineStr">
        <is>
          <t>63010162</t>
        </is>
      </c>
      <c r="C13" s="6" t="n">
        <v>43896</v>
      </c>
      <c r="D13" s="3" t="inlineStr">
        <is>
          <t>FZ</t>
        </is>
      </c>
      <c r="E13" s="3" t="inlineStr">
        <is>
          <t>USD</t>
        </is>
      </c>
      <c r="F13" s="4" t="n">
        <v>4375.93</v>
      </c>
      <c r="G13" s="3" t="inlineStr">
        <is>
          <t>USD</t>
        </is>
      </c>
      <c r="H13" s="4" t="n">
        <v>4375.93</v>
      </c>
      <c r="I13" s="5" t="n">
        <v/>
      </c>
      <c r="J13" s="3">
        <f>IF(C13="","",TODAY()-C13)</f>
        <v/>
      </c>
    </row>
    <row r="14">
      <c r="A14" s="5" t="inlineStr">
        <is>
          <t>UN0100</t>
        </is>
      </c>
      <c r="B14" s="3" t="inlineStr">
        <is>
          <t>63010162</t>
        </is>
      </c>
      <c r="C14" s="6" t="n">
        <v>43896</v>
      </c>
      <c r="D14" s="3" t="inlineStr">
        <is>
          <t>FZ</t>
        </is>
      </c>
      <c r="E14" s="3" t="inlineStr">
        <is>
          <t>USD</t>
        </is>
      </c>
      <c r="F14" s="4" t="n">
        <v>1800.82</v>
      </c>
      <c r="G14" s="3" t="inlineStr">
        <is>
          <t>USD</t>
        </is>
      </c>
      <c r="H14" s="4" t="n">
        <v>1800.82</v>
      </c>
      <c r="I14" s="5" t="inlineStr">
        <is>
          <t>UNFN221029FCB LEUT-PVH</t>
        </is>
      </c>
      <c r="J14" s="3">
        <f>IF(C14="","",TODAY()-C14)</f>
        <v/>
      </c>
    </row>
    <row r="15">
      <c r="A15" s="5" t="inlineStr">
        <is>
          <t>UN0100</t>
        </is>
      </c>
      <c r="B15" s="3" t="inlineStr">
        <is>
          <t>63010162</t>
        </is>
      </c>
      <c r="C15" s="6" t="n">
        <v>44080</v>
      </c>
      <c r="D15" s="3" t="inlineStr">
        <is>
          <t>FZ</t>
        </is>
      </c>
      <c r="E15" s="3" t="inlineStr">
        <is>
          <t>USD</t>
        </is>
      </c>
      <c r="F15" s="4" t="n">
        <v>37581.03</v>
      </c>
      <c r="G15" s="3" t="inlineStr">
        <is>
          <t>USD</t>
        </is>
      </c>
      <c r="H15" s="4" t="n">
        <v>37581.03</v>
      </c>
      <c r="I15" s="5" t="inlineStr">
        <is>
          <t>UNFN214938FCB LEUT-PVH</t>
        </is>
      </c>
      <c r="J15" s="3">
        <f>IF(C15="","",TODAY()-C15)</f>
        <v/>
      </c>
    </row>
    <row r="16">
      <c r="A16" s="5" t="inlineStr">
        <is>
          <t>UN0100</t>
        </is>
      </c>
      <c r="B16" s="3" t="inlineStr">
        <is>
          <t>63010162</t>
        </is>
      </c>
      <c r="C16" s="6" t="n">
        <v>44080</v>
      </c>
      <c r="D16" s="3" t="inlineStr">
        <is>
          <t>FZ</t>
        </is>
      </c>
      <c r="E16" s="3" t="inlineStr">
        <is>
          <t>USD</t>
        </is>
      </c>
      <c r="F16" s="4" t="n">
        <v>79146.24000000001</v>
      </c>
      <c r="G16" s="3" t="inlineStr">
        <is>
          <t>USD</t>
        </is>
      </c>
      <c r="H16" s="4" t="n">
        <v>79146.24000000001</v>
      </c>
      <c r="I16" s="5" t="inlineStr">
        <is>
          <t>UNFN214942FCB LEUT-PVH</t>
        </is>
      </c>
      <c r="J16" s="3">
        <f>IF(C16="","",TODAY()-C16)</f>
        <v/>
      </c>
    </row>
    <row r="17">
      <c r="A17" s="5" t="inlineStr">
        <is>
          <t>UN0100</t>
        </is>
      </c>
      <c r="B17" s="3" t="inlineStr">
        <is>
          <t>63010162</t>
        </is>
      </c>
      <c r="C17" s="6" t="n">
        <v>44080</v>
      </c>
      <c r="D17" s="3" t="inlineStr">
        <is>
          <t>FZ</t>
        </is>
      </c>
      <c r="E17" s="3" t="inlineStr">
        <is>
          <t>USD</t>
        </is>
      </c>
      <c r="F17" s="4" t="n">
        <v>116969.27</v>
      </c>
      <c r="G17" s="3" t="inlineStr">
        <is>
          <t>USD</t>
        </is>
      </c>
      <c r="H17" s="4" t="n">
        <v>116969.27</v>
      </c>
      <c r="I17" s="5" t="n">
        <v/>
      </c>
      <c r="J17" s="3">
        <f>IF(C17="","",TODAY()-C17)</f>
        <v/>
      </c>
    </row>
    <row r="18">
      <c r="A18" s="5" t="inlineStr">
        <is>
          <t>UN0100</t>
        </is>
      </c>
      <c r="B18" s="3" t="inlineStr">
        <is>
          <t>63010162</t>
        </is>
      </c>
      <c r="C18" s="6" t="n">
        <v>44080</v>
      </c>
      <c r="D18" s="3" t="inlineStr">
        <is>
          <t>FZ</t>
        </is>
      </c>
      <c r="E18" s="3" t="inlineStr">
        <is>
          <t>USD</t>
        </is>
      </c>
      <c r="F18" s="4" t="n">
        <v>928860.36</v>
      </c>
      <c r="G18" s="3" t="inlineStr">
        <is>
          <t>USD</t>
        </is>
      </c>
      <c r="H18" s="4" t="n">
        <v>928860.36</v>
      </c>
      <c r="I18" s="5" t="inlineStr">
        <is>
          <t>TUNF GTUNF -00 NN DSCUNTED FUNDS</t>
        </is>
      </c>
      <c r="J18" s="3">
        <f>IF(C18="","",TODAY()-C18)</f>
        <v/>
      </c>
    </row>
    <row r="19">
      <c r="A19" s="5" t="inlineStr">
        <is>
          <t>UN0100</t>
        </is>
      </c>
      <c r="B19" s="3" t="inlineStr">
        <is>
          <t>63010162</t>
        </is>
      </c>
      <c r="C19" s="6" t="n">
        <v>44080</v>
      </c>
      <c r="D19" s="3" t="inlineStr">
        <is>
          <t>JE</t>
        </is>
      </c>
      <c r="E19" s="3" t="inlineStr">
        <is>
          <t>USD</t>
        </is>
      </c>
      <c r="F19" s="4" t="n">
        <v>-425387.2</v>
      </c>
      <c r="G19" s="3" t="inlineStr">
        <is>
          <t>USD</t>
        </is>
      </c>
      <c r="H19" s="4" t="n">
        <v>-425387.2</v>
      </c>
      <c r="I19" s="5" t="inlineStr">
        <is>
          <t>EUBCnsfer</t>
        </is>
      </c>
      <c r="J19" s="3">
        <f>IF(C19="","",TODAY()-C19)</f>
        <v/>
      </c>
    </row>
    <row r="20">
      <c r="A20" s="5" t="inlineStr">
        <is>
          <t>UN0100</t>
        </is>
      </c>
      <c r="B20" s="3" t="inlineStr">
        <is>
          <t>63010162</t>
        </is>
      </c>
      <c r="C20" s="6" t="n">
        <v>44080</v>
      </c>
      <c r="D20" s="3" t="inlineStr">
        <is>
          <t>FZ</t>
        </is>
      </c>
      <c r="E20" s="3" t="inlineStr">
        <is>
          <t>USD</t>
        </is>
      </c>
      <c r="F20" s="4" t="n">
        <v>145709.47</v>
      </c>
      <c r="G20" s="3" t="inlineStr">
        <is>
          <t>USD</t>
        </is>
      </c>
      <c r="H20" s="4" t="n">
        <v>145709.47</v>
      </c>
      <c r="I20" s="5" t="n">
        <v/>
      </c>
      <c r="J20" s="3">
        <f>IF(C20="","",TODAY()-C20)</f>
        <v/>
      </c>
    </row>
    <row r="21">
      <c r="A21" s="5" t="inlineStr">
        <is>
          <t>UN0100</t>
        </is>
      </c>
      <c r="B21" s="3" t="inlineStr">
        <is>
          <t>63010162</t>
        </is>
      </c>
      <c r="C21" s="6" t="n">
        <v>44080</v>
      </c>
      <c r="D21" s="3" t="inlineStr">
        <is>
          <t>FZ</t>
        </is>
      </c>
      <c r="E21" s="3" t="inlineStr">
        <is>
          <t>USD</t>
        </is>
      </c>
      <c r="F21" s="4" t="n">
        <v>47554.73</v>
      </c>
      <c r="G21" s="3" t="inlineStr">
        <is>
          <t>USD</t>
        </is>
      </c>
      <c r="H21" s="4" t="n">
        <v>47554.73</v>
      </c>
      <c r="I21" s="5" t="n">
        <v/>
      </c>
      <c r="J21" s="3">
        <f>IF(C21="","",TODAY()-C21)</f>
        <v/>
      </c>
    </row>
    <row r="22">
      <c r="A22" s="5" t="inlineStr">
        <is>
          <t>UN0100</t>
        </is>
      </c>
      <c r="B22" s="3" t="inlineStr">
        <is>
          <t>63010162</t>
        </is>
      </c>
      <c r="C22" s="6" t="n">
        <v>44080</v>
      </c>
      <c r="D22" s="3" t="inlineStr">
        <is>
          <t>FZ</t>
        </is>
      </c>
      <c r="E22" s="3" t="inlineStr">
        <is>
          <t>USD</t>
        </is>
      </c>
      <c r="F22" s="4" t="n">
        <v>6134.09</v>
      </c>
      <c r="G22" s="3" t="inlineStr">
        <is>
          <t>USD</t>
        </is>
      </c>
      <c r="H22" s="4" t="n">
        <v>6134.09</v>
      </c>
      <c r="I22" s="5" t="n">
        <v/>
      </c>
      <c r="J22" s="3">
        <f>IF(C22="","",TODAY()-C22)</f>
        <v/>
      </c>
    </row>
    <row r="23">
      <c r="A23" s="5" t="inlineStr">
        <is>
          <t>UN0100</t>
        </is>
      </c>
      <c r="B23" s="3" t="inlineStr">
        <is>
          <t>63010162</t>
        </is>
      </c>
      <c r="C23" s="6" t="n">
        <v>44080</v>
      </c>
      <c r="D23" s="3" t="inlineStr">
        <is>
          <t>FZ</t>
        </is>
      </c>
      <c r="E23" s="3" t="inlineStr">
        <is>
          <t>USD</t>
        </is>
      </c>
      <c r="F23" s="4" t="n">
        <v>72070.19</v>
      </c>
      <c r="G23" s="3" t="inlineStr">
        <is>
          <t>USD</t>
        </is>
      </c>
      <c r="H23" s="4" t="n">
        <v>72070.19</v>
      </c>
      <c r="I23" s="5" t="inlineStr">
        <is>
          <t>TUNF UNF -00 NN DSCUNTED RMS /EU PVH TUNF T 001</t>
        </is>
      </c>
      <c r="J23" s="3">
        <f>IF(C23="","",TODAY()-C23)</f>
        <v/>
      </c>
    </row>
    <row r="24">
      <c r="A24" s="7" t="n"/>
      <c r="B24" s="7" t="n"/>
      <c r="C24" s="7" t="n"/>
      <c r="D24" s="7" t="n"/>
      <c r="E24" s="7" t="n"/>
      <c r="F24" s="8">
        <f>SUM(F4:F23)</f>
        <v/>
      </c>
      <c r="G24" s="7" t="n"/>
      <c r="H24" s="8">
        <f>SUM(H4:H23)</f>
        <v/>
      </c>
      <c r="I24" s="7" t="n"/>
      <c r="J24" s="7" t="n"/>
    </row>
  </sheetData>
  <mergeCells count="1"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5" customWidth="1" min="9" max="9"/>
    <col width="30" customWidth="1" min="10" max="10"/>
  </cols>
  <sheetData>
    <row r="1"/>
    <row r="2">
      <c r="A2" s="1" t="inlineStr">
        <is>
          <t>Account: 63010502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UN0150</t>
        </is>
      </c>
      <c r="B4" s="3" t="inlineStr">
        <is>
          <t>63010502</t>
        </is>
      </c>
      <c r="C4" s="6" t="n">
        <v>43836</v>
      </c>
      <c r="D4" s="3" t="inlineStr">
        <is>
          <t>FZ</t>
        </is>
      </c>
      <c r="E4" s="3" t="inlineStr">
        <is>
          <t>USD</t>
        </is>
      </c>
      <c r="F4" s="4" t="n">
        <v>4499.5</v>
      </c>
      <c r="G4" s="3" t="inlineStr">
        <is>
          <t>USD</t>
        </is>
      </c>
      <c r="H4" s="4" t="n">
        <v>4499.5</v>
      </c>
      <c r="I4" s="5" t="inlineStr">
        <is>
          <t>18890009693 07232C00572990001-18890009693 SB99991889</t>
        </is>
      </c>
      <c r="J4" s="3">
        <f>IF(C4="","",TODAY()-C4)</f>
        <v/>
      </c>
    </row>
    <row r="5">
      <c r="A5" s="5" t="inlineStr">
        <is>
          <t>UN0150</t>
        </is>
      </c>
      <c r="B5" s="3" t="inlineStr">
        <is>
          <t>63010502</t>
        </is>
      </c>
      <c r="C5" s="6" t="n">
        <v>43836</v>
      </c>
      <c r="D5" s="3" t="inlineStr">
        <is>
          <t>FZ</t>
        </is>
      </c>
      <c r="E5" s="3" t="inlineStr">
        <is>
          <t>USD</t>
        </is>
      </c>
      <c r="F5" s="4" t="n">
        <v>1021.56</v>
      </c>
      <c r="G5" s="3" t="inlineStr">
        <is>
          <t>USD</t>
        </is>
      </c>
      <c r="H5" s="4" t="n">
        <v>1021.56</v>
      </c>
      <c r="I5" s="5" t="inlineStr">
        <is>
          <t>18890009694 07232C00573000001-18890009694 SB99991889</t>
        </is>
      </c>
      <c r="J5" s="3">
        <f>IF(C5="","",TODAY()-C5)</f>
        <v/>
      </c>
    </row>
    <row r="6">
      <c r="A6" s="5" t="inlineStr">
        <is>
          <t>UN0150</t>
        </is>
      </c>
      <c r="B6" s="3" t="inlineStr">
        <is>
          <t>63010502</t>
        </is>
      </c>
      <c r="C6" s="6" t="n">
        <v>43836</v>
      </c>
      <c r="D6" s="3" t="inlineStr">
        <is>
          <t>FZ</t>
        </is>
      </c>
      <c r="E6" s="3" t="inlineStr">
        <is>
          <t>USD</t>
        </is>
      </c>
      <c r="F6" s="4" t="n">
        <v>2509.83</v>
      </c>
      <c r="G6" s="3" t="inlineStr">
        <is>
          <t>USD</t>
        </is>
      </c>
      <c r="H6" s="4" t="n">
        <v>2509.83</v>
      </c>
      <c r="I6" s="5" t="inlineStr">
        <is>
          <t>18890009695 07232C005730188901-18890009695 SB99991889</t>
        </is>
      </c>
      <c r="J6" s="3">
        <f>IF(C6="","",TODAY()-C6)</f>
        <v/>
      </c>
    </row>
    <row r="7">
      <c r="A7" s="5" t="inlineStr">
        <is>
          <t>UN0150</t>
        </is>
      </c>
      <c r="B7" s="3" t="inlineStr">
        <is>
          <t>63010502</t>
        </is>
      </c>
      <c r="C7" s="6" t="n">
        <v>43836</v>
      </c>
      <c r="D7" s="3" t="inlineStr">
        <is>
          <t>FZ</t>
        </is>
      </c>
      <c r="E7" s="3" t="inlineStr">
        <is>
          <t>USD</t>
        </is>
      </c>
      <c r="F7" s="4" t="n">
        <v>80643.19</v>
      </c>
      <c r="G7" s="3" t="inlineStr">
        <is>
          <t>USD</t>
        </is>
      </c>
      <c r="H7" s="4" t="n">
        <v>80643.19</v>
      </c>
      <c r="I7" s="5" t="inlineStr">
        <is>
          <t>18890009696 07232C00573080001-18890009696 LK5BT18896</t>
        </is>
      </c>
      <c r="J7" s="3">
        <f>IF(C7="","",TODAY()-C7)</f>
        <v/>
      </c>
    </row>
    <row r="8">
      <c r="A8" s="5" t="inlineStr">
        <is>
          <t>UN0150</t>
        </is>
      </c>
      <c r="B8" s="3" t="inlineStr">
        <is>
          <t>63010502</t>
        </is>
      </c>
      <c r="C8" s="6" t="n">
        <v>43836</v>
      </c>
      <c r="D8" s="3" t="inlineStr">
        <is>
          <t>FZ</t>
        </is>
      </c>
      <c r="E8" s="3" t="inlineStr">
        <is>
          <t>USD</t>
        </is>
      </c>
      <c r="F8" s="4" t="n">
        <v>22365.04</v>
      </c>
      <c r="G8" s="3" t="inlineStr">
        <is>
          <t>USD</t>
        </is>
      </c>
      <c r="H8" s="4" t="n">
        <v>22365.04</v>
      </c>
      <c r="I8" s="5" t="inlineStr">
        <is>
          <t>TUNF TUNF T USD 08901397201</t>
        </is>
      </c>
      <c r="J8" s="3">
        <f>IF(C8="","",TODAY()-C8)</f>
        <v/>
      </c>
    </row>
    <row r="9">
      <c r="A9" s="5" t="inlineStr">
        <is>
          <t>UN0150</t>
        </is>
      </c>
      <c r="B9" s="3" t="inlineStr">
        <is>
          <t>63010502</t>
        </is>
      </c>
      <c r="C9" s="6" t="n">
        <v>43867</v>
      </c>
      <c r="D9" s="3" t="inlineStr">
        <is>
          <t>FZ</t>
        </is>
      </c>
      <c r="E9" s="3" t="inlineStr">
        <is>
          <t>USD</t>
        </is>
      </c>
      <c r="F9" s="4" t="n">
        <v>77692.74000000001</v>
      </c>
      <c r="G9" s="3" t="inlineStr">
        <is>
          <t>USD</t>
        </is>
      </c>
      <c r="H9" s="4" t="n">
        <v>77692.74000000001</v>
      </c>
      <c r="I9" s="5" t="inlineStr">
        <is>
          <t>18890009689 07232C005681188901-18890009689 SB99991889</t>
        </is>
      </c>
      <c r="J9" s="3">
        <f>IF(C9="","",TODAY()-C9)</f>
        <v/>
      </c>
    </row>
    <row r="10">
      <c r="A10" s="5" t="inlineStr">
        <is>
          <t>UN0150</t>
        </is>
      </c>
      <c r="B10" s="3" t="inlineStr">
        <is>
          <t>63010502</t>
        </is>
      </c>
      <c r="C10" s="6" t="n">
        <v>43867</v>
      </c>
      <c r="D10" s="3" t="inlineStr">
        <is>
          <t>FZ</t>
        </is>
      </c>
      <c r="E10" s="3" t="inlineStr">
        <is>
          <t>USD</t>
        </is>
      </c>
      <c r="F10" s="4" t="n">
        <v>1920</v>
      </c>
      <c r="G10" s="3" t="inlineStr">
        <is>
          <t>USD</t>
        </is>
      </c>
      <c r="H10" s="4" t="n">
        <v>1920</v>
      </c>
      <c r="I10" s="5" t="inlineStr">
        <is>
          <t>18890009699 07232C00573180001-18890009699 SB99991889</t>
        </is>
      </c>
      <c r="J10" s="3">
        <f>IF(C10="","",TODAY()-C10)</f>
        <v/>
      </c>
    </row>
    <row r="11">
      <c r="A11" s="5" t="inlineStr">
        <is>
          <t>UN0150</t>
        </is>
      </c>
      <c r="B11" s="3" t="inlineStr">
        <is>
          <t>63010502</t>
        </is>
      </c>
      <c r="C11" s="6" t="n">
        <v>43867</v>
      </c>
      <c r="D11" s="3" t="inlineStr">
        <is>
          <t>FZ</t>
        </is>
      </c>
      <c r="E11" s="3" t="inlineStr">
        <is>
          <t>USD</t>
        </is>
      </c>
      <c r="F11" s="4" t="n">
        <v>127.4</v>
      </c>
      <c r="G11" s="3" t="inlineStr">
        <is>
          <t>USD</t>
        </is>
      </c>
      <c r="H11" s="4" t="n">
        <v>127.4</v>
      </c>
      <c r="I11" s="5" t="inlineStr">
        <is>
          <t>18890009702 07232C005734188901-18890009702 SB99991889</t>
        </is>
      </c>
      <c r="J11" s="3">
        <f>IF(C11="","",TODAY()-C11)</f>
        <v/>
      </c>
    </row>
    <row r="12">
      <c r="A12" s="5" t="inlineStr">
        <is>
          <t>UN0150</t>
        </is>
      </c>
      <c r="B12" s="3" t="inlineStr">
        <is>
          <t>63010502</t>
        </is>
      </c>
      <c r="C12" s="6" t="n">
        <v>43867</v>
      </c>
      <c r="D12" s="3" t="inlineStr">
        <is>
          <t>FZ</t>
        </is>
      </c>
      <c r="E12" s="3" t="inlineStr">
        <is>
          <t>USD</t>
        </is>
      </c>
      <c r="F12" s="4" t="n">
        <v>4200</v>
      </c>
      <c r="G12" s="3" t="inlineStr">
        <is>
          <t>USD</t>
        </is>
      </c>
      <c r="H12" s="4" t="n">
        <v>4200</v>
      </c>
      <c r="I12" s="5" t="inlineStr">
        <is>
          <t>18890009704 07232C00573770001-18890009704 SB99991889</t>
        </is>
      </c>
      <c r="J12" s="3">
        <f>IF(C12="","",TODAY()-C12)</f>
        <v/>
      </c>
    </row>
    <row r="13">
      <c r="A13" s="5" t="inlineStr">
        <is>
          <t>UN0150</t>
        </is>
      </c>
      <c r="B13" s="3" t="inlineStr">
        <is>
          <t>63010502</t>
        </is>
      </c>
      <c r="C13" s="6" t="n">
        <v>43867</v>
      </c>
      <c r="D13" s="3" t="inlineStr">
        <is>
          <t>FZ</t>
        </is>
      </c>
      <c r="E13" s="3" t="inlineStr">
        <is>
          <t>USD</t>
        </is>
      </c>
      <c r="F13" s="4" t="n">
        <v>143069.1</v>
      </c>
      <c r="G13" s="3" t="inlineStr">
        <is>
          <t>USD</t>
        </is>
      </c>
      <c r="H13" s="4" t="n">
        <v>143069.1</v>
      </c>
      <c r="I13" s="5" t="inlineStr">
        <is>
          <t>18890009705 07232C00573760001-18890009705 SB99991889</t>
        </is>
      </c>
      <c r="J13" s="3">
        <f>IF(C13="","",TODAY()-C13)</f>
        <v/>
      </c>
    </row>
    <row r="14">
      <c r="A14" s="5" t="inlineStr">
        <is>
          <t>UN0150</t>
        </is>
      </c>
      <c r="B14" s="3" t="inlineStr">
        <is>
          <t>63010502</t>
        </is>
      </c>
      <c r="C14" s="6" t="n">
        <v>43867</v>
      </c>
      <c r="D14" s="3" t="inlineStr">
        <is>
          <t>FZ</t>
        </is>
      </c>
      <c r="E14" s="3" t="inlineStr">
        <is>
          <t>USD</t>
        </is>
      </c>
      <c r="F14" s="4" t="n">
        <v>37.97</v>
      </c>
      <c r="G14" s="3" t="inlineStr">
        <is>
          <t>USD</t>
        </is>
      </c>
      <c r="H14" s="4" t="n">
        <v>37.97</v>
      </c>
      <c r="I14" s="5" t="inlineStr">
        <is>
          <t>18890009706 07232C00573790001-18890009706 SB99991889</t>
        </is>
      </c>
      <c r="J14" s="3">
        <f>IF(C14="","",TODAY()-C14)</f>
        <v/>
      </c>
    </row>
    <row r="15">
      <c r="A15" s="5" t="inlineStr">
        <is>
          <t>UN0150</t>
        </is>
      </c>
      <c r="B15" s="3" t="inlineStr">
        <is>
          <t>63010502</t>
        </is>
      </c>
      <c r="C15" s="6" t="n">
        <v>43896</v>
      </c>
      <c r="D15" s="3" t="inlineStr">
        <is>
          <t>FZ</t>
        </is>
      </c>
      <c r="E15" s="3" t="inlineStr">
        <is>
          <t>USD</t>
        </is>
      </c>
      <c r="F15" s="4" t="n">
        <v>10612.53</v>
      </c>
      <c r="G15" s="3" t="inlineStr">
        <is>
          <t>USD</t>
        </is>
      </c>
      <c r="H15" s="4" t="n">
        <v>10612.53</v>
      </c>
      <c r="I15" s="5" t="inlineStr">
        <is>
          <t>18890009707 07232C00573960001-18890009707 SB99991889</t>
        </is>
      </c>
      <c r="J15" s="3">
        <f>IF(C15="","",TODAY()-C15)</f>
        <v/>
      </c>
    </row>
    <row r="16">
      <c r="A16" s="5" t="inlineStr">
        <is>
          <t>UN0150</t>
        </is>
      </c>
      <c r="B16" s="3" t="inlineStr">
        <is>
          <t>63010502</t>
        </is>
      </c>
      <c r="C16" s="6" t="n">
        <v>43896</v>
      </c>
      <c r="D16" s="3" t="inlineStr">
        <is>
          <t>FZ</t>
        </is>
      </c>
      <c r="E16" s="3" t="inlineStr">
        <is>
          <t>USD</t>
        </is>
      </c>
      <c r="F16" s="4" t="n">
        <v>349.43</v>
      </c>
      <c r="G16" s="3" t="inlineStr">
        <is>
          <t>USD</t>
        </is>
      </c>
      <c r="H16" s="4" t="n">
        <v>349.43</v>
      </c>
      <c r="I16" s="5" t="inlineStr">
        <is>
          <t>18890009709 07232C00573980001-18890009709 SB99991889</t>
        </is>
      </c>
      <c r="J16" s="3">
        <f>IF(C16="","",TODAY()-C16)</f>
        <v/>
      </c>
    </row>
    <row r="17">
      <c r="A17" s="5" t="inlineStr">
        <is>
          <t>UN0150</t>
        </is>
      </c>
      <c r="B17" s="3" t="inlineStr">
        <is>
          <t>63010502</t>
        </is>
      </c>
      <c r="C17" s="6" t="n">
        <v>43896</v>
      </c>
      <c r="D17" s="3" t="inlineStr">
        <is>
          <t>FZ</t>
        </is>
      </c>
      <c r="E17" s="3" t="inlineStr">
        <is>
          <t>USD</t>
        </is>
      </c>
      <c r="F17" s="4" t="n">
        <v>48</v>
      </c>
      <c r="G17" s="3" t="inlineStr">
        <is>
          <t>USD</t>
        </is>
      </c>
      <c r="H17" s="4" t="n">
        <v>48</v>
      </c>
      <c r="I17" s="5" t="n">
        <v/>
      </c>
      <c r="J17" s="3">
        <f>IF(C17="","",TODAY()-C17)</f>
        <v/>
      </c>
    </row>
    <row r="18">
      <c r="A18" s="5" t="inlineStr">
        <is>
          <t>UN0150</t>
        </is>
      </c>
      <c r="B18" s="3" t="inlineStr">
        <is>
          <t>63010502</t>
        </is>
      </c>
      <c r="C18" s="6" t="n">
        <v>44049</v>
      </c>
      <c r="D18" s="3" t="inlineStr">
        <is>
          <t>FZ</t>
        </is>
      </c>
      <c r="E18" s="3" t="inlineStr">
        <is>
          <t>USD</t>
        </is>
      </c>
      <c r="F18" s="4" t="n">
        <v>2620</v>
      </c>
      <c r="G18" s="3" t="inlineStr">
        <is>
          <t>USD</t>
        </is>
      </c>
      <c r="H18" s="4" t="n">
        <v>2620</v>
      </c>
      <c r="I18" s="5" t="inlineStr">
        <is>
          <t>18890009716 07232C00574650001-18890009716 SB99991889</t>
        </is>
      </c>
      <c r="J18" s="3">
        <f>IF(C18="","",TODAY()-C18)</f>
        <v/>
      </c>
    </row>
    <row r="19">
      <c r="A19" s="5" t="inlineStr">
        <is>
          <t>UN0150</t>
        </is>
      </c>
      <c r="B19" s="3" t="inlineStr">
        <is>
          <t>63010502</t>
        </is>
      </c>
      <c r="C19" s="6" t="n">
        <v>44049</v>
      </c>
      <c r="D19" s="3" t="inlineStr">
        <is>
          <t>FZ</t>
        </is>
      </c>
      <c r="E19" s="3" t="inlineStr">
        <is>
          <t>USD</t>
        </is>
      </c>
      <c r="F19" s="4" t="n">
        <v>5434.75</v>
      </c>
      <c r="G19" s="3" t="inlineStr">
        <is>
          <t>USD</t>
        </is>
      </c>
      <c r="H19" s="4" t="n">
        <v>5434.75</v>
      </c>
      <c r="I19" s="5" t="inlineStr">
        <is>
          <t>18890009718 07232C00574730001-18890009718 SB99991889</t>
        </is>
      </c>
      <c r="J19" s="3">
        <f>IF(C19="","",TODAY()-C19)</f>
        <v/>
      </c>
    </row>
    <row r="20">
      <c r="A20" s="5" t="inlineStr">
        <is>
          <t>UN0150</t>
        </is>
      </c>
      <c r="B20" s="3" t="inlineStr">
        <is>
          <t>63010502</t>
        </is>
      </c>
      <c r="C20" s="6" t="n">
        <v>44049</v>
      </c>
      <c r="D20" s="3" t="inlineStr">
        <is>
          <t>FZ</t>
        </is>
      </c>
      <c r="E20" s="3" t="inlineStr">
        <is>
          <t>USD</t>
        </is>
      </c>
      <c r="F20" s="4" t="n">
        <v>39.69</v>
      </c>
      <c r="G20" s="3" t="inlineStr">
        <is>
          <t>USD</t>
        </is>
      </c>
      <c r="H20" s="4" t="n">
        <v>39.69</v>
      </c>
      <c r="I20" s="5" t="inlineStr">
        <is>
          <t>18890009720 07232C00574910001-18890009720 SB99991889</t>
        </is>
      </c>
      <c r="J20" s="3">
        <f>IF(C20="","",TODAY()-C20)</f>
        <v/>
      </c>
    </row>
    <row r="21">
      <c r="A21" s="5" t="inlineStr">
        <is>
          <t>UN0150</t>
        </is>
      </c>
      <c r="B21" s="3" t="inlineStr">
        <is>
          <t>63010502</t>
        </is>
      </c>
      <c r="C21" s="6" t="n">
        <v>44049</v>
      </c>
      <c r="D21" s="3" t="inlineStr">
        <is>
          <t>FZ</t>
        </is>
      </c>
      <c r="E21" s="3" t="inlineStr">
        <is>
          <t>USD</t>
        </is>
      </c>
      <c r="F21" s="4" t="n">
        <v>890</v>
      </c>
      <c r="G21" s="3" t="inlineStr">
        <is>
          <t>USD</t>
        </is>
      </c>
      <c r="H21" s="4" t="n">
        <v>890</v>
      </c>
      <c r="I21" s="5" t="inlineStr">
        <is>
          <t>18890009721 07232C00574970001-18890009721 SB99991889</t>
        </is>
      </c>
      <c r="J21" s="3">
        <f>IF(C21="","",TODAY()-C21)</f>
        <v/>
      </c>
    </row>
    <row r="22">
      <c r="A22" s="5" t="inlineStr">
        <is>
          <t>UN0150</t>
        </is>
      </c>
      <c r="B22" s="3" t="inlineStr">
        <is>
          <t>63010502</t>
        </is>
      </c>
      <c r="C22" s="6" t="n">
        <v>44049</v>
      </c>
      <c r="D22" s="3" t="inlineStr">
        <is>
          <t>FZ</t>
        </is>
      </c>
      <c r="E22" s="3" t="inlineStr">
        <is>
          <t>USD</t>
        </is>
      </c>
      <c r="F22" s="4" t="n">
        <v>4027.36</v>
      </c>
      <c r="G22" s="3" t="inlineStr">
        <is>
          <t>USD</t>
        </is>
      </c>
      <c r="H22" s="4" t="n">
        <v>4027.36</v>
      </c>
      <c r="I22" s="5" t="inlineStr">
        <is>
          <t>18890009722 07232C00574960001-18890009722 SB99991889</t>
        </is>
      </c>
      <c r="J22" s="3">
        <f>IF(C22="","",TODAY()-C22)</f>
        <v/>
      </c>
    </row>
    <row r="23">
      <c r="A23" s="5" t="inlineStr">
        <is>
          <t>UN0150</t>
        </is>
      </c>
      <c r="B23" s="3" t="inlineStr">
        <is>
          <t>63010502</t>
        </is>
      </c>
      <c r="C23" s="6" t="n">
        <v>44049</v>
      </c>
      <c r="D23" s="3" t="inlineStr">
        <is>
          <t>FZ</t>
        </is>
      </c>
      <c r="E23" s="3" t="inlineStr">
        <is>
          <t>USD</t>
        </is>
      </c>
      <c r="F23" s="4" t="n">
        <v>5961.56</v>
      </c>
      <c r="G23" s="3" t="inlineStr">
        <is>
          <t>USD</t>
        </is>
      </c>
      <c r="H23" s="4" t="n">
        <v>5961.56</v>
      </c>
      <c r="I23" s="5" t="inlineStr">
        <is>
          <t>18890009725 07232C00574990001-18890009725 SB99991889</t>
        </is>
      </c>
      <c r="J23" s="3">
        <f>IF(C23="","",TODAY()-C23)</f>
        <v/>
      </c>
    </row>
    <row r="24">
      <c r="A24" s="5" t="inlineStr">
        <is>
          <t>UN0150</t>
        </is>
      </c>
      <c r="B24" s="3" t="inlineStr">
        <is>
          <t>63010502</t>
        </is>
      </c>
      <c r="C24" s="6" t="n">
        <v>44049</v>
      </c>
      <c r="D24" s="3" t="inlineStr">
        <is>
          <t>FZ</t>
        </is>
      </c>
      <c r="E24" s="3" t="inlineStr">
        <is>
          <t>USD</t>
        </is>
      </c>
      <c r="F24" s="4" t="n">
        <v>5640.65</v>
      </c>
      <c r="G24" s="3" t="inlineStr">
        <is>
          <t>USD</t>
        </is>
      </c>
      <c r="H24" s="4" t="n">
        <v>5640.65</v>
      </c>
      <c r="I24" s="5" t="inlineStr">
        <is>
          <t>18890009726 07232C00575030001-18890009726 SB99991889</t>
        </is>
      </c>
      <c r="J24" s="3">
        <f>IF(C24="","",TODAY()-C24)</f>
        <v/>
      </c>
    </row>
    <row r="25">
      <c r="A25" s="5" t="inlineStr">
        <is>
          <t>UN0150</t>
        </is>
      </c>
      <c r="B25" s="3" t="inlineStr">
        <is>
          <t>63010502</t>
        </is>
      </c>
      <c r="C25" s="6" t="n">
        <v>44049</v>
      </c>
      <c r="D25" s="3" t="inlineStr">
        <is>
          <t>FZ</t>
        </is>
      </c>
      <c r="E25" s="3" t="inlineStr">
        <is>
          <t>USD</t>
        </is>
      </c>
      <c r="F25" s="4" t="n">
        <v>112.86</v>
      </c>
      <c r="G25" s="3" t="inlineStr">
        <is>
          <t>USD</t>
        </is>
      </c>
      <c r="H25" s="4" t="n">
        <v>112.86</v>
      </c>
      <c r="I25" s="5" t="inlineStr">
        <is>
          <t>18890009727 07232C005750188901-18890009727 SB99991889</t>
        </is>
      </c>
      <c r="J25" s="3">
        <f>IF(C25="","",TODAY()-C25)</f>
        <v/>
      </c>
    </row>
    <row r="26">
      <c r="A26" s="5" t="inlineStr">
        <is>
          <t>UN0150</t>
        </is>
      </c>
      <c r="B26" s="3" t="inlineStr">
        <is>
          <t>63010502</t>
        </is>
      </c>
      <c r="C26" s="6" t="n">
        <v>44049</v>
      </c>
      <c r="D26" s="3" t="inlineStr">
        <is>
          <t>FZ</t>
        </is>
      </c>
      <c r="E26" s="3" t="inlineStr">
        <is>
          <t>USD</t>
        </is>
      </c>
      <c r="F26" s="4" t="n">
        <v>35420.74</v>
      </c>
      <c r="G26" s="3" t="inlineStr">
        <is>
          <t>USD</t>
        </is>
      </c>
      <c r="H26" s="4" t="n">
        <v>35420.74</v>
      </c>
      <c r="I26" s="5" t="inlineStr">
        <is>
          <t>18890009728 07232C00575010001-18890009728 LK5BT18896</t>
        </is>
      </c>
      <c r="J26" s="3">
        <f>IF(C26="","",TODAY()-C26)</f>
        <v/>
      </c>
    </row>
    <row r="27">
      <c r="A27" s="5" t="inlineStr">
        <is>
          <t>UN0150</t>
        </is>
      </c>
      <c r="B27" s="3" t="inlineStr">
        <is>
          <t>63010502</t>
        </is>
      </c>
      <c r="C27" s="6" t="n">
        <v>44049</v>
      </c>
      <c r="D27" s="3" t="inlineStr">
        <is>
          <t>FZ</t>
        </is>
      </c>
      <c r="E27" s="3" t="inlineStr">
        <is>
          <t>USD</t>
        </is>
      </c>
      <c r="F27" s="4" t="n">
        <v>5089.64</v>
      </c>
      <c r="G27" s="3" t="inlineStr">
        <is>
          <t>USD</t>
        </is>
      </c>
      <c r="H27" s="4" t="n">
        <v>5089.64</v>
      </c>
      <c r="I27" s="5" t="inlineStr">
        <is>
          <t>18890009729 07232C00575050001-18890009729 SB99991889</t>
        </is>
      </c>
      <c r="J27" s="3">
        <f>IF(C27="","",TODAY()-C27)</f>
        <v/>
      </c>
    </row>
    <row r="28">
      <c r="A28" s="5" t="inlineStr">
        <is>
          <t>UN0150</t>
        </is>
      </c>
      <c r="B28" s="3" t="inlineStr">
        <is>
          <t>63010502</t>
        </is>
      </c>
      <c r="C28" s="6" t="n">
        <v>44049</v>
      </c>
      <c r="D28" s="3" t="inlineStr">
        <is>
          <t>FZ</t>
        </is>
      </c>
      <c r="E28" s="3" t="inlineStr">
        <is>
          <t>USD</t>
        </is>
      </c>
      <c r="F28" s="4" t="n">
        <v>948.21</v>
      </c>
      <c r="G28" s="3" t="inlineStr">
        <is>
          <t>USD</t>
        </is>
      </c>
      <c r="H28" s="4" t="n">
        <v>948.21</v>
      </c>
      <c r="I28" s="5" t="inlineStr">
        <is>
          <t>18890009730 07232C00575040001-18890009730 SB99991889</t>
        </is>
      </c>
      <c r="J28" s="3">
        <f>IF(C28="","",TODAY()-C28)</f>
        <v/>
      </c>
    </row>
    <row r="29">
      <c r="A29" s="5" t="inlineStr">
        <is>
          <t>UN0150</t>
        </is>
      </c>
      <c r="B29" s="3" t="inlineStr">
        <is>
          <t>63010502</t>
        </is>
      </c>
      <c r="C29" s="6" t="n">
        <v>44049</v>
      </c>
      <c r="D29" s="3" t="inlineStr">
        <is>
          <t>FZ</t>
        </is>
      </c>
      <c r="E29" s="3" t="inlineStr">
        <is>
          <t>USD</t>
        </is>
      </c>
      <c r="F29" s="4" t="n">
        <v>4514.22</v>
      </c>
      <c r="G29" s="3" t="inlineStr">
        <is>
          <t>USD</t>
        </is>
      </c>
      <c r="H29" s="4" t="n">
        <v>4514.22</v>
      </c>
      <c r="I29" s="5" t="inlineStr">
        <is>
          <t>18890009737 07232C00575060001-18890009737 SB99991889</t>
        </is>
      </c>
      <c r="J29" s="3">
        <f>IF(C29="","",TODAY()-C29)</f>
        <v/>
      </c>
    </row>
    <row r="30">
      <c r="A30" s="5" t="inlineStr">
        <is>
          <t>UN0150</t>
        </is>
      </c>
      <c r="B30" s="3" t="inlineStr">
        <is>
          <t>63010502</t>
        </is>
      </c>
      <c r="C30" s="6" t="n">
        <v>44049</v>
      </c>
      <c r="D30" s="3" t="inlineStr">
        <is>
          <t>FZ</t>
        </is>
      </c>
      <c r="E30" s="3" t="inlineStr">
        <is>
          <t>USD</t>
        </is>
      </c>
      <c r="F30" s="4" t="n">
        <v>305.75</v>
      </c>
      <c r="G30" s="3" t="inlineStr">
        <is>
          <t>USD</t>
        </is>
      </c>
      <c r="H30" s="4" t="n">
        <v>305.75</v>
      </c>
      <c r="I30" s="5" t="n">
        <v/>
      </c>
      <c r="J30" s="3">
        <f>IF(C30="","",TODAY()-C30)</f>
        <v/>
      </c>
    </row>
    <row r="31">
      <c r="A31" s="5" t="inlineStr">
        <is>
          <t>UN0150</t>
        </is>
      </c>
      <c r="B31" s="3" t="inlineStr">
        <is>
          <t>63010502</t>
        </is>
      </c>
      <c r="C31" s="6" t="n">
        <v>44049</v>
      </c>
      <c r="D31" s="3" t="inlineStr">
        <is>
          <t>FZ</t>
        </is>
      </c>
      <c r="E31" s="3" t="inlineStr">
        <is>
          <t>USD</t>
        </is>
      </c>
      <c r="F31" s="4" t="n">
        <v>871.25</v>
      </c>
      <c r="G31" s="3" t="inlineStr">
        <is>
          <t>USD</t>
        </is>
      </c>
      <c r="H31" s="4" t="n">
        <v>871.25</v>
      </c>
      <c r="I31" s="5" t="n">
        <v/>
      </c>
      <c r="J31" s="3">
        <f>IF(C31="","",TODAY()-C31)</f>
        <v/>
      </c>
    </row>
    <row r="32">
      <c r="A32" s="5" t="inlineStr">
        <is>
          <t>UN0150</t>
        </is>
      </c>
      <c r="B32" s="3" t="inlineStr">
        <is>
          <t>63010502</t>
        </is>
      </c>
      <c r="C32" s="6" t="n">
        <v>44049</v>
      </c>
      <c r="D32" s="3" t="inlineStr">
        <is>
          <t>FZ</t>
        </is>
      </c>
      <c r="E32" s="3" t="inlineStr">
        <is>
          <t>USD</t>
        </is>
      </c>
      <c r="F32" s="4" t="n">
        <v>830</v>
      </c>
      <c r="G32" s="3" t="inlineStr">
        <is>
          <t>USD</t>
        </is>
      </c>
      <c r="H32" s="4" t="n">
        <v>830</v>
      </c>
      <c r="I32" s="5" t="n">
        <v/>
      </c>
      <c r="J32" s="3">
        <f>IF(C32="","",TODAY()-C32)</f>
        <v/>
      </c>
    </row>
    <row r="33">
      <c r="A33" s="5" t="inlineStr">
        <is>
          <t>UN0100</t>
        </is>
      </c>
      <c r="B33" s="3" t="inlineStr">
        <is>
          <t>63010502</t>
        </is>
      </c>
      <c r="C33" s="6" t="n">
        <v>44080</v>
      </c>
      <c r="D33" s="3" t="inlineStr">
        <is>
          <t>FZ</t>
        </is>
      </c>
      <c r="E33" s="3" t="inlineStr">
        <is>
          <t>USD</t>
        </is>
      </c>
      <c r="F33" s="4" t="n">
        <v>5440.15</v>
      </c>
      <c r="G33" s="3" t="inlineStr">
        <is>
          <t>USD</t>
        </is>
      </c>
      <c r="H33" s="4" t="n">
        <v>5440.15</v>
      </c>
      <c r="I33" s="5" t="inlineStr">
        <is>
          <t>18890000579 07232C00576570001-18890000579 SB99991889</t>
        </is>
      </c>
      <c r="J33" s="3">
        <f>IF(C33="","",TODAY()-C33)</f>
        <v/>
      </c>
    </row>
    <row r="34">
      <c r="A34" s="5" t="inlineStr">
        <is>
          <t>UN0150</t>
        </is>
      </c>
      <c r="B34" s="3" t="inlineStr">
        <is>
          <t>63010502</t>
        </is>
      </c>
      <c r="C34" s="6" t="n">
        <v>44080</v>
      </c>
      <c r="D34" s="3" t="inlineStr">
        <is>
          <t>FZ</t>
        </is>
      </c>
      <c r="E34" s="3" t="inlineStr">
        <is>
          <t>USD</t>
        </is>
      </c>
      <c r="F34" s="4" t="n">
        <v>7949.71</v>
      </c>
      <c r="G34" s="3" t="inlineStr">
        <is>
          <t>USD</t>
        </is>
      </c>
      <c r="H34" s="4" t="n">
        <v>7949.71</v>
      </c>
      <c r="I34" s="5" t="inlineStr">
        <is>
          <t>18890009715 07232C00574590001-18890009715 SB99991889</t>
        </is>
      </c>
      <c r="J34" s="3">
        <f>IF(C34="","",TODAY()-C34)</f>
        <v/>
      </c>
    </row>
    <row r="35">
      <c r="A35" s="5" t="inlineStr">
        <is>
          <t>UN0150</t>
        </is>
      </c>
      <c r="B35" s="3" t="inlineStr">
        <is>
          <t>63010502</t>
        </is>
      </c>
      <c r="C35" s="6" t="n">
        <v>44080</v>
      </c>
      <c r="D35" s="3" t="inlineStr">
        <is>
          <t>FZ</t>
        </is>
      </c>
      <c r="E35" s="3" t="inlineStr">
        <is>
          <t>USD</t>
        </is>
      </c>
      <c r="F35" s="4" t="n">
        <v>22784.58</v>
      </c>
      <c r="G35" s="3" t="inlineStr">
        <is>
          <t>USD</t>
        </is>
      </c>
      <c r="H35" s="4" t="n">
        <v>22784.58</v>
      </c>
      <c r="I35" s="5" t="inlineStr">
        <is>
          <t>18890009719 07232C005749188901-18890009719 SB99991889</t>
        </is>
      </c>
      <c r="J35" s="3">
        <f>IF(C35="","",TODAY()-C35)</f>
        <v/>
      </c>
    </row>
    <row r="36">
      <c r="A36" s="5" t="inlineStr">
        <is>
          <t>UN0150</t>
        </is>
      </c>
      <c r="B36" s="3" t="inlineStr">
        <is>
          <t>63010502</t>
        </is>
      </c>
      <c r="C36" s="6" t="n">
        <v>44080</v>
      </c>
      <c r="D36" s="3" t="inlineStr">
        <is>
          <t>FZ</t>
        </is>
      </c>
      <c r="E36" s="3" t="inlineStr">
        <is>
          <t>USD</t>
        </is>
      </c>
      <c r="F36" s="4" t="n">
        <v>507.98</v>
      </c>
      <c r="G36" s="3" t="inlineStr">
        <is>
          <t>USD</t>
        </is>
      </c>
      <c r="H36" s="4" t="n">
        <v>507.98</v>
      </c>
      <c r="I36" s="5" t="n">
        <v/>
      </c>
      <c r="J36" s="3">
        <f>IF(C36="","",TODAY()-C36)</f>
        <v/>
      </c>
    </row>
    <row r="37">
      <c r="A37" s="5" t="inlineStr">
        <is>
          <t>UN0150</t>
        </is>
      </c>
      <c r="B37" s="3" t="inlineStr">
        <is>
          <t>63010502</t>
        </is>
      </c>
      <c r="C37" s="6" t="n">
        <v>44080</v>
      </c>
      <c r="D37" s="3" t="inlineStr">
        <is>
          <t>FZ</t>
        </is>
      </c>
      <c r="E37" s="3" t="inlineStr">
        <is>
          <t>USD</t>
        </is>
      </c>
      <c r="F37" s="4" t="n">
        <v>13371.6</v>
      </c>
      <c r="G37" s="3" t="inlineStr">
        <is>
          <t>USD</t>
        </is>
      </c>
      <c r="H37" s="4" t="n">
        <v>13371.6</v>
      </c>
      <c r="I37" s="5" t="n">
        <v/>
      </c>
      <c r="J37" s="3">
        <f>IF(C37="","",TODAY()-C37)</f>
        <v/>
      </c>
    </row>
    <row r="38">
      <c r="A38" s="5" t="inlineStr">
        <is>
          <t>UN0150</t>
        </is>
      </c>
      <c r="B38" s="3" t="inlineStr">
        <is>
          <t>63010502</t>
        </is>
      </c>
      <c r="C38" s="6" t="n">
        <v>44080</v>
      </c>
      <c r="D38" s="3" t="inlineStr">
        <is>
          <t>FZ</t>
        </is>
      </c>
      <c r="E38" s="3" t="inlineStr">
        <is>
          <t>USD</t>
        </is>
      </c>
      <c r="F38" s="4" t="n">
        <v>3166.48</v>
      </c>
      <c r="G38" s="3" t="inlineStr">
        <is>
          <t>USD</t>
        </is>
      </c>
      <c r="H38" s="4" t="n">
        <v>3166.48</v>
      </c>
      <c r="I38" s="5" t="n">
        <v/>
      </c>
      <c r="J38" s="3">
        <f>IF(C38="","",TODAY()-C38)</f>
        <v/>
      </c>
    </row>
    <row r="39">
      <c r="A39" s="5" t="inlineStr">
        <is>
          <t>UN0150</t>
        </is>
      </c>
      <c r="B39" s="3" t="inlineStr">
        <is>
          <t>63010502</t>
        </is>
      </c>
      <c r="C39" s="6" t="n">
        <v>44080</v>
      </c>
      <c r="D39" s="3" t="inlineStr">
        <is>
          <t>FZ</t>
        </is>
      </c>
      <c r="E39" s="3" t="inlineStr">
        <is>
          <t>USD</t>
        </is>
      </c>
      <c r="F39" s="4" t="n">
        <v>358.36</v>
      </c>
      <c r="G39" s="3" t="inlineStr">
        <is>
          <t>USD</t>
        </is>
      </c>
      <c r="H39" s="4" t="n">
        <v>358.36</v>
      </c>
      <c r="I39" s="5" t="n">
        <v/>
      </c>
      <c r="J39" s="3">
        <f>IF(C39="","",TODAY()-C39)</f>
        <v/>
      </c>
    </row>
    <row r="40">
      <c r="A40" s="5" t="inlineStr">
        <is>
          <t>UN0150</t>
        </is>
      </c>
      <c r="B40" s="3" t="inlineStr">
        <is>
          <t>63010502</t>
        </is>
      </c>
      <c r="C40" s="6" t="n">
        <v>44080</v>
      </c>
      <c r="D40" s="3" t="inlineStr">
        <is>
          <t>FZ</t>
        </is>
      </c>
      <c r="E40" s="3" t="inlineStr">
        <is>
          <t>USD</t>
        </is>
      </c>
      <c r="F40" s="4" t="n">
        <v>23000</v>
      </c>
      <c r="G40" s="3" t="inlineStr">
        <is>
          <t>USD</t>
        </is>
      </c>
      <c r="H40" s="4" t="n">
        <v>23000</v>
      </c>
      <c r="I40" s="5" t="inlineStr">
        <is>
          <t>18890009758 07232C00576450001-18890009758 SB99991889</t>
        </is>
      </c>
      <c r="J40" s="3">
        <f>IF(C40="","",TODAY()-C40)</f>
        <v/>
      </c>
    </row>
    <row r="41">
      <c r="A41" s="5" t="inlineStr">
        <is>
          <t>UN0150</t>
        </is>
      </c>
      <c r="B41" s="3" t="inlineStr">
        <is>
          <t>63010502</t>
        </is>
      </c>
      <c r="C41" s="6" t="n">
        <v>44080</v>
      </c>
      <c r="D41" s="3" t="inlineStr">
        <is>
          <t>FZ</t>
        </is>
      </c>
      <c r="E41" s="3" t="inlineStr">
        <is>
          <t>USD</t>
        </is>
      </c>
      <c r="F41" s="4" t="n">
        <v>120</v>
      </c>
      <c r="G41" s="3" t="inlineStr">
        <is>
          <t>USD</t>
        </is>
      </c>
      <c r="H41" s="4" t="n">
        <v>120</v>
      </c>
      <c r="I41" s="5" t="inlineStr">
        <is>
          <t>18890009761 07232C00576490001-18890009761 SB99991889</t>
        </is>
      </c>
      <c r="J41" s="3">
        <f>IF(C41="","",TODAY()-C41)</f>
        <v/>
      </c>
    </row>
    <row r="42">
      <c r="A42" s="5" t="inlineStr">
        <is>
          <t>UN0150</t>
        </is>
      </c>
      <c r="B42" s="3" t="inlineStr">
        <is>
          <t>63010502</t>
        </is>
      </c>
      <c r="C42" s="6" t="n">
        <v>44080</v>
      </c>
      <c r="D42" s="3" t="inlineStr">
        <is>
          <t>FZ</t>
        </is>
      </c>
      <c r="E42" s="3" t="inlineStr">
        <is>
          <t>USD</t>
        </is>
      </c>
      <c r="F42" s="4" t="n">
        <v>917.53</v>
      </c>
      <c r="G42" s="3" t="inlineStr">
        <is>
          <t>USD</t>
        </is>
      </c>
      <c r="H42" s="4" t="n">
        <v>917.53</v>
      </c>
      <c r="I42" s="5" t="inlineStr">
        <is>
          <t>18890009762 07232C00576500001-18890009762 SB99991889</t>
        </is>
      </c>
      <c r="J42" s="3">
        <f>IF(C42="","",TODAY()-C42)</f>
        <v/>
      </c>
    </row>
    <row r="43">
      <c r="A43" s="5" t="inlineStr">
        <is>
          <t>UN0150</t>
        </is>
      </c>
      <c r="B43" s="3" t="inlineStr">
        <is>
          <t>63010502</t>
        </is>
      </c>
      <c r="C43" s="6" t="n">
        <v>44080</v>
      </c>
      <c r="D43" s="3" t="inlineStr">
        <is>
          <t>FZ</t>
        </is>
      </c>
      <c r="E43" s="3" t="inlineStr">
        <is>
          <t>USD</t>
        </is>
      </c>
      <c r="F43" s="4" t="n">
        <v>215.35</v>
      </c>
      <c r="G43" s="3" t="inlineStr">
        <is>
          <t>USD</t>
        </is>
      </c>
      <c r="H43" s="4" t="n">
        <v>215.35</v>
      </c>
      <c r="I43" s="5" t="inlineStr">
        <is>
          <t>18890009764 07232C00576640001-18890009764 SB99991889</t>
        </is>
      </c>
      <c r="J43" s="3">
        <f>IF(C43="","",TODAY()-C43)</f>
        <v/>
      </c>
    </row>
    <row r="44">
      <c r="A44" s="5" t="inlineStr">
        <is>
          <t>UN0150</t>
        </is>
      </c>
      <c r="B44" s="3" t="inlineStr">
        <is>
          <t>63010502</t>
        </is>
      </c>
      <c r="C44" s="6" t="n">
        <v>44080</v>
      </c>
      <c r="D44" s="3" t="inlineStr">
        <is>
          <t>FZ</t>
        </is>
      </c>
      <c r="E44" s="3" t="inlineStr">
        <is>
          <t>USD</t>
        </is>
      </c>
      <c r="F44" s="4" t="n">
        <v>9153.25</v>
      </c>
      <c r="G44" s="3" t="inlineStr">
        <is>
          <t>USD</t>
        </is>
      </c>
      <c r="H44" s="4" t="n">
        <v>9153.25</v>
      </c>
      <c r="I44" s="5" t="inlineStr">
        <is>
          <t>18890009765 07232C00576730001-18890009765 SB99991889</t>
        </is>
      </c>
      <c r="J44" s="3">
        <f>IF(C44="","",TODAY()-C44)</f>
        <v/>
      </c>
    </row>
    <row r="45">
      <c r="A45" s="5" t="inlineStr">
        <is>
          <t>UN0150</t>
        </is>
      </c>
      <c r="B45" s="3" t="inlineStr">
        <is>
          <t>63010502</t>
        </is>
      </c>
      <c r="C45" s="6" t="n">
        <v>44080</v>
      </c>
      <c r="D45" s="3" t="inlineStr">
        <is>
          <t>FZ</t>
        </is>
      </c>
      <c r="E45" s="3" t="inlineStr">
        <is>
          <t>USD</t>
        </is>
      </c>
      <c r="F45" s="4" t="n">
        <v>831.6</v>
      </c>
      <c r="G45" s="3" t="inlineStr">
        <is>
          <t>USD</t>
        </is>
      </c>
      <c r="H45" s="4" t="n">
        <v>831.6</v>
      </c>
      <c r="I45" s="5" t="inlineStr">
        <is>
          <t>18890009766 07232C00576790001-18890009766 SB99991889</t>
        </is>
      </c>
      <c r="J45" s="3">
        <f>IF(C45="","",TODAY()-C45)</f>
        <v/>
      </c>
    </row>
    <row r="46">
      <c r="A46" s="5" t="inlineStr">
        <is>
          <t>UN0150</t>
        </is>
      </c>
      <c r="B46" s="3" t="inlineStr">
        <is>
          <t>63010502</t>
        </is>
      </c>
      <c r="C46" s="6" t="n">
        <v>44080</v>
      </c>
      <c r="D46" s="3" t="inlineStr">
        <is>
          <t>FZ</t>
        </is>
      </c>
      <c r="E46" s="3" t="inlineStr">
        <is>
          <t>USD</t>
        </is>
      </c>
      <c r="F46" s="4" t="n">
        <v>2907.29</v>
      </c>
      <c r="G46" s="3" t="inlineStr">
        <is>
          <t>USD</t>
        </is>
      </c>
      <c r="H46" s="4" t="n">
        <v>2907.29</v>
      </c>
      <c r="I46" s="5" t="inlineStr">
        <is>
          <t>828177 07232C00576760001-21889000317 LK5BT1889609EU0</t>
        </is>
      </c>
      <c r="J46" s="3">
        <f>IF(C46="","",TODAY()-C46)</f>
        <v/>
      </c>
    </row>
    <row r="47">
      <c r="A47" s="5" t="inlineStr">
        <is>
          <t>UN0100</t>
        </is>
      </c>
      <c r="B47" s="3" t="inlineStr">
        <is>
          <t>63010502</t>
        </is>
      </c>
      <c r="C47" s="6" t="n">
        <v>44110</v>
      </c>
      <c r="D47" s="3" t="inlineStr">
        <is>
          <t>FZ</t>
        </is>
      </c>
      <c r="E47" s="3" t="inlineStr">
        <is>
          <t>USD</t>
        </is>
      </c>
      <c r="F47" s="4" t="n">
        <v>141.03</v>
      </c>
      <c r="G47" s="3" t="inlineStr">
        <is>
          <t>USD</t>
        </is>
      </c>
      <c r="H47" s="4" t="n">
        <v>141.03</v>
      </c>
      <c r="I47" s="5" t="inlineStr">
        <is>
          <t>15R8900-00116 TF715R8900-00116 SETT MULTPLE ENTR</t>
        </is>
      </c>
      <c r="J47" s="3">
        <f>IF(C47="","",TODAY()-C47)</f>
        <v/>
      </c>
    </row>
    <row r="48">
      <c r="A48" s="5" t="inlineStr">
        <is>
          <t>UN0100</t>
        </is>
      </c>
      <c r="B48" s="3" t="inlineStr">
        <is>
          <t>63010502</t>
        </is>
      </c>
      <c r="C48" s="6" t="n">
        <v>44110</v>
      </c>
      <c r="D48" s="3" t="inlineStr">
        <is>
          <t>FZ</t>
        </is>
      </c>
      <c r="E48" s="3" t="inlineStr">
        <is>
          <t>USD</t>
        </is>
      </c>
      <c r="F48" s="4" t="n">
        <v>323427.6</v>
      </c>
      <c r="G48" s="3" t="inlineStr">
        <is>
          <t>USD</t>
        </is>
      </c>
      <c r="H48" s="4" t="n">
        <v>323427.6</v>
      </c>
      <c r="I48" s="5" t="inlineStr">
        <is>
          <t>18890000583 07232C00577410001-18890000583 LK5BT18896</t>
        </is>
      </c>
      <c r="J48" s="3">
        <f>IF(C48="","",TODAY()-C48)</f>
        <v/>
      </c>
    </row>
    <row r="49">
      <c r="A49" s="5" t="inlineStr">
        <is>
          <t>UN0150</t>
        </is>
      </c>
      <c r="B49" s="3" t="inlineStr">
        <is>
          <t>63010502</t>
        </is>
      </c>
      <c r="C49" s="6" t="n">
        <v>44110</v>
      </c>
      <c r="D49" s="3" t="inlineStr">
        <is>
          <t>FZ</t>
        </is>
      </c>
      <c r="E49" s="3" t="inlineStr">
        <is>
          <t>USD</t>
        </is>
      </c>
      <c r="F49" s="4" t="n">
        <v>89579.85000000001</v>
      </c>
      <c r="G49" s="3" t="inlineStr">
        <is>
          <t>USD</t>
        </is>
      </c>
      <c r="H49" s="4" t="n">
        <v>89579.85000000001</v>
      </c>
      <c r="I49" s="5" t="inlineStr">
        <is>
          <t>18890009711 07232C00574490001-18890009711 SB99991889</t>
        </is>
      </c>
      <c r="J49" s="3">
        <f>IF(C49="","",TODAY()-C49)</f>
        <v/>
      </c>
    </row>
    <row r="50">
      <c r="A50" s="5" t="inlineStr">
        <is>
          <t>UN0150</t>
        </is>
      </c>
      <c r="B50" s="3" t="inlineStr">
        <is>
          <t>63010502</t>
        </is>
      </c>
      <c r="C50" s="6" t="n">
        <v>44049</v>
      </c>
      <c r="D50" s="3" t="inlineStr">
        <is>
          <t>FZ</t>
        </is>
      </c>
      <c r="E50" s="3" t="inlineStr">
        <is>
          <t>USD</t>
        </is>
      </c>
      <c r="F50" s="4" t="n">
        <v>2122.92</v>
      </c>
      <c r="G50" s="3" t="inlineStr">
        <is>
          <t>USD</t>
        </is>
      </c>
      <c r="H50" s="4" t="n">
        <v>2122.92</v>
      </c>
      <c r="I50" s="5" t="inlineStr">
        <is>
          <t>TUNF T095918896080076 18890009741</t>
        </is>
      </c>
      <c r="J50" s="3">
        <f>IF(C50="","",TODAY()-C50)</f>
        <v/>
      </c>
    </row>
    <row r="51">
      <c r="A51" s="5" t="inlineStr">
        <is>
          <t>UN0150</t>
        </is>
      </c>
      <c r="B51" s="3" t="inlineStr">
        <is>
          <t>63010502</t>
        </is>
      </c>
      <c r="C51" s="6" t="n">
        <v>44110</v>
      </c>
      <c r="D51" s="3" t="inlineStr">
        <is>
          <t>FZ</t>
        </is>
      </c>
      <c r="E51" s="3" t="inlineStr">
        <is>
          <t>USD</t>
        </is>
      </c>
      <c r="F51" s="4" t="n">
        <v>86680.83</v>
      </c>
      <c r="G51" s="3" t="inlineStr">
        <is>
          <t>USD</t>
        </is>
      </c>
      <c r="H51" s="4" t="n">
        <v>86680.83</v>
      </c>
      <c r="I51" s="5" t="inlineStr">
        <is>
          <t>TUNF TUNF T USD 08901397201</t>
        </is>
      </c>
      <c r="J51" s="3">
        <f>IF(C51="","",TODAY()-C51)</f>
        <v/>
      </c>
    </row>
    <row r="52">
      <c r="A52" s="5" t="inlineStr">
        <is>
          <t>UN0150</t>
        </is>
      </c>
      <c r="B52" s="3" t="inlineStr">
        <is>
          <t>63010502</t>
        </is>
      </c>
      <c r="C52" s="6" t="n">
        <v>44141</v>
      </c>
      <c r="D52" s="3" t="inlineStr">
        <is>
          <t>FZ</t>
        </is>
      </c>
      <c r="E52" s="3" t="inlineStr">
        <is>
          <t>USD</t>
        </is>
      </c>
      <c r="F52" s="4" t="n">
        <v>8</v>
      </c>
      <c r="G52" s="3" t="inlineStr">
        <is>
          <t>USD</t>
        </is>
      </c>
      <c r="H52" s="4" t="n">
        <v>8</v>
      </c>
      <c r="I52" s="5" t="n">
        <v/>
      </c>
      <c r="J52" s="3">
        <f>IF(C52="","",TODAY()-C52)</f>
        <v/>
      </c>
    </row>
    <row r="53">
      <c r="A53" s="5" t="inlineStr">
        <is>
          <t>UN0100</t>
        </is>
      </c>
      <c r="B53" s="3" t="inlineStr">
        <is>
          <t>63010502</t>
        </is>
      </c>
      <c r="C53" s="6" t="n">
        <v>44141</v>
      </c>
      <c r="D53" s="3" t="inlineStr">
        <is>
          <t>FZ</t>
        </is>
      </c>
      <c r="E53" s="3" t="inlineStr">
        <is>
          <t>USD</t>
        </is>
      </c>
      <c r="F53" s="4" t="n">
        <v>2470</v>
      </c>
      <c r="G53" s="3" t="inlineStr">
        <is>
          <t>USD</t>
        </is>
      </c>
      <c r="H53" s="4" t="n">
        <v>2470</v>
      </c>
      <c r="I53" s="5" t="inlineStr">
        <is>
          <t>18890000580 07232C00577260001-18890000580 SB99991889</t>
        </is>
      </c>
      <c r="J53" s="3">
        <f>IF(C53="","",TODAY()-C53)</f>
        <v/>
      </c>
    </row>
    <row r="54">
      <c r="A54" s="5" t="inlineStr">
        <is>
          <t>UN0150</t>
        </is>
      </c>
      <c r="B54" s="3" t="inlineStr">
        <is>
          <t>63010502</t>
        </is>
      </c>
      <c r="C54" s="6" t="n">
        <v>44141</v>
      </c>
      <c r="D54" s="3" t="inlineStr">
        <is>
          <t>FZ</t>
        </is>
      </c>
      <c r="E54" s="3" t="inlineStr">
        <is>
          <t>USD</t>
        </is>
      </c>
      <c r="F54" s="4" t="n">
        <v>35034.31</v>
      </c>
      <c r="G54" s="3" t="inlineStr">
        <is>
          <t>USD</t>
        </is>
      </c>
      <c r="H54" s="4" t="n">
        <v>35034.31</v>
      </c>
      <c r="I54" s="5" t="inlineStr">
        <is>
          <t>18890009789 07232C00575000001-18890009789 SB99991889</t>
        </is>
      </c>
      <c r="J54" s="3">
        <f>IF(C54="","",TODAY()-C54)</f>
        <v/>
      </c>
    </row>
    <row r="55">
      <c r="A55" s="5" t="inlineStr">
        <is>
          <t>UN0150</t>
        </is>
      </c>
      <c r="B55" s="3" t="inlineStr">
        <is>
          <t>63010502</t>
        </is>
      </c>
      <c r="C55" s="6" t="n">
        <v>44141</v>
      </c>
      <c r="D55" s="3" t="inlineStr">
        <is>
          <t>FZ</t>
        </is>
      </c>
      <c r="E55" s="3" t="inlineStr">
        <is>
          <t>USD</t>
        </is>
      </c>
      <c r="F55" s="4" t="n">
        <v>207215.46</v>
      </c>
      <c r="G55" s="3" t="inlineStr">
        <is>
          <t>USD</t>
        </is>
      </c>
      <c r="H55" s="4" t="n">
        <v>207215.46</v>
      </c>
      <c r="I55" s="5" t="n">
        <v/>
      </c>
      <c r="J55" s="3">
        <f>IF(C55="","",TODAY()-C55)</f>
        <v/>
      </c>
    </row>
    <row r="56">
      <c r="A56" s="5" t="inlineStr">
        <is>
          <t>UN0150</t>
        </is>
      </c>
      <c r="B56" s="3" t="inlineStr">
        <is>
          <t>63010502</t>
        </is>
      </c>
      <c r="C56" s="6" t="n">
        <v>44141</v>
      </c>
      <c r="D56" s="3" t="inlineStr">
        <is>
          <t>FZ</t>
        </is>
      </c>
      <c r="E56" s="3" t="inlineStr">
        <is>
          <t>USD</t>
        </is>
      </c>
      <c r="F56" s="4" t="n">
        <v>117</v>
      </c>
      <c r="G56" s="3" t="inlineStr">
        <is>
          <t>USD</t>
        </is>
      </c>
      <c r="H56" s="4" t="n">
        <v>117</v>
      </c>
      <c r="I56" s="5" t="inlineStr">
        <is>
          <t>18890009768 07232C00577030001-18890009768 SB99991889</t>
        </is>
      </c>
      <c r="J56" s="3">
        <f>IF(C56="","",TODAY()-C56)</f>
        <v/>
      </c>
    </row>
    <row r="57">
      <c r="A57" s="5" t="inlineStr">
        <is>
          <t>UN0150</t>
        </is>
      </c>
      <c r="B57" s="3" t="inlineStr">
        <is>
          <t>63010502</t>
        </is>
      </c>
      <c r="C57" s="6" t="n">
        <v>44141</v>
      </c>
      <c r="D57" s="3" t="inlineStr">
        <is>
          <t>FZ</t>
        </is>
      </c>
      <c r="E57" s="3" t="inlineStr">
        <is>
          <t>USD</t>
        </is>
      </c>
      <c r="F57" s="4" t="n">
        <v>80.40000000000001</v>
      </c>
      <c r="G57" s="3" t="inlineStr">
        <is>
          <t>USD</t>
        </is>
      </c>
      <c r="H57" s="4" t="n">
        <v>80.40000000000001</v>
      </c>
      <c r="I57" s="5" t="inlineStr">
        <is>
          <t>18890009771 07232C00577130001-18890009771 SB99991889</t>
        </is>
      </c>
      <c r="J57" s="3">
        <f>IF(C57="","",TODAY()-C57)</f>
        <v/>
      </c>
    </row>
    <row r="58">
      <c r="A58" s="5" t="inlineStr">
        <is>
          <t>UN0150</t>
        </is>
      </c>
      <c r="B58" s="3" t="inlineStr">
        <is>
          <t>63010502</t>
        </is>
      </c>
      <c r="C58" s="6" t="n">
        <v>44141</v>
      </c>
      <c r="D58" s="3" t="inlineStr">
        <is>
          <t>FZ</t>
        </is>
      </c>
      <c r="E58" s="3" t="inlineStr">
        <is>
          <t>USD</t>
        </is>
      </c>
      <c r="F58" s="4" t="n">
        <v>46965.6</v>
      </c>
      <c r="G58" s="3" t="inlineStr">
        <is>
          <t>USD</t>
        </is>
      </c>
      <c r="H58" s="4" t="n">
        <v>46965.6</v>
      </c>
      <c r="I58" s="5" t="inlineStr">
        <is>
          <t>18890009772 07232C00577140001-18890009772 SB99991889</t>
        </is>
      </c>
      <c r="J58" s="3">
        <f>IF(C58="","",TODAY()-C58)</f>
        <v/>
      </c>
    </row>
    <row r="59">
      <c r="A59" s="5" t="inlineStr">
        <is>
          <t>UN0150</t>
        </is>
      </c>
      <c r="B59" s="3" t="inlineStr">
        <is>
          <t>63010502</t>
        </is>
      </c>
      <c r="C59" s="6" t="n">
        <v>44141</v>
      </c>
      <c r="D59" s="3" t="inlineStr">
        <is>
          <t>FZ</t>
        </is>
      </c>
      <c r="E59" s="3" t="inlineStr">
        <is>
          <t>USD</t>
        </is>
      </c>
      <c r="F59" s="4" t="n">
        <v>33697.97</v>
      </c>
      <c r="G59" s="3" t="inlineStr">
        <is>
          <t>USD</t>
        </is>
      </c>
      <c r="H59" s="4" t="n">
        <v>33697.97</v>
      </c>
      <c r="I59" s="5" t="inlineStr">
        <is>
          <t>18890009774 07232C00577890001-18890009774 SB99991889</t>
        </is>
      </c>
      <c r="J59" s="3">
        <f>IF(C59="","",TODAY()-C59)</f>
        <v/>
      </c>
    </row>
    <row r="60">
      <c r="A60" s="5" t="inlineStr">
        <is>
          <t>UN0150</t>
        </is>
      </c>
      <c r="B60" s="3" t="inlineStr">
        <is>
          <t>63010502</t>
        </is>
      </c>
      <c r="C60" s="6" t="n">
        <v>44141</v>
      </c>
      <c r="D60" s="3" t="inlineStr">
        <is>
          <t>FZ</t>
        </is>
      </c>
      <c r="E60" s="3" t="inlineStr">
        <is>
          <t>USD</t>
        </is>
      </c>
      <c r="F60" s="4" t="n">
        <v>4184.4</v>
      </c>
      <c r="G60" s="3" t="inlineStr">
        <is>
          <t>USD</t>
        </is>
      </c>
      <c r="H60" s="4" t="n">
        <v>4184.4</v>
      </c>
      <c r="I60" s="5" t="inlineStr">
        <is>
          <t>18890009775 07232C00577290001-18890009775 SB99991889</t>
        </is>
      </c>
      <c r="J60" s="3">
        <f>IF(C60="","",TODAY()-C60)</f>
        <v/>
      </c>
    </row>
    <row r="61">
      <c r="A61" s="5" t="inlineStr">
        <is>
          <t>UN0150</t>
        </is>
      </c>
      <c r="B61" s="3" t="inlineStr">
        <is>
          <t>63010502</t>
        </is>
      </c>
      <c r="C61" s="6" t="n">
        <v>44141</v>
      </c>
      <c r="D61" s="3" t="inlineStr">
        <is>
          <t>FZ</t>
        </is>
      </c>
      <c r="E61" s="3" t="inlineStr">
        <is>
          <t>USD</t>
        </is>
      </c>
      <c r="F61" s="4" t="n">
        <v>96.2</v>
      </c>
      <c r="G61" s="3" t="inlineStr">
        <is>
          <t>USD</t>
        </is>
      </c>
      <c r="H61" s="4" t="n">
        <v>96.2</v>
      </c>
      <c r="I61" s="5" t="inlineStr">
        <is>
          <t>18890009776 07232C00577330001-18890009776 SB99991889</t>
        </is>
      </c>
      <c r="J61" s="3">
        <f>IF(C61="","",TODAY()-C61)</f>
        <v/>
      </c>
    </row>
    <row r="62">
      <c r="A62" s="5" t="inlineStr">
        <is>
          <t>UN0150</t>
        </is>
      </c>
      <c r="B62" s="3" t="inlineStr">
        <is>
          <t>63010502</t>
        </is>
      </c>
      <c r="C62" s="6" t="n">
        <v>44141</v>
      </c>
      <c r="D62" s="3" t="inlineStr">
        <is>
          <t>FZ</t>
        </is>
      </c>
      <c r="E62" s="3" t="inlineStr">
        <is>
          <t>USD</t>
        </is>
      </c>
      <c r="F62" s="4" t="n">
        <v>109.54</v>
      </c>
      <c r="G62" s="3" t="inlineStr">
        <is>
          <t>USD</t>
        </is>
      </c>
      <c r="H62" s="4" t="n">
        <v>109.54</v>
      </c>
      <c r="I62" s="5" t="inlineStr">
        <is>
          <t>18890009778 07232C00577650001-18890009778 SB99991889</t>
        </is>
      </c>
      <c r="J62" s="3">
        <f>IF(C62="","",TODAY()-C62)</f>
        <v/>
      </c>
    </row>
    <row r="63">
      <c r="A63" s="5" t="inlineStr">
        <is>
          <t>UN0150</t>
        </is>
      </c>
      <c r="B63" s="3" t="inlineStr">
        <is>
          <t>63010502</t>
        </is>
      </c>
      <c r="C63" s="6" t="n">
        <v>44171</v>
      </c>
      <c r="D63" s="3" t="inlineStr">
        <is>
          <t>FZ</t>
        </is>
      </c>
      <c r="E63" s="3" t="inlineStr">
        <is>
          <t>USD</t>
        </is>
      </c>
      <c r="F63" s="4" t="n">
        <v>5569.53</v>
      </c>
      <c r="G63" s="3" t="inlineStr">
        <is>
          <t>USD</t>
        </is>
      </c>
      <c r="H63" s="4" t="n">
        <v>5569.53</v>
      </c>
      <c r="I63" s="5" t="inlineStr">
        <is>
          <t>18890009769 07232C00577040001-18890009769 SB99991889</t>
        </is>
      </c>
      <c r="J63" s="3">
        <f>IF(C63="","",TODAY()-C63)</f>
        <v/>
      </c>
    </row>
    <row r="64">
      <c r="A64" s="5" t="inlineStr">
        <is>
          <t>UN0150</t>
        </is>
      </c>
      <c r="B64" s="3" t="inlineStr">
        <is>
          <t>63010502</t>
        </is>
      </c>
      <c r="C64" s="6" t="n">
        <v>44171</v>
      </c>
      <c r="D64" s="3" t="inlineStr">
        <is>
          <t>FZ</t>
        </is>
      </c>
      <c r="E64" s="3" t="inlineStr">
        <is>
          <t>USD</t>
        </is>
      </c>
      <c r="F64" s="4" t="n">
        <v>601.79</v>
      </c>
      <c r="G64" s="3" t="inlineStr">
        <is>
          <t>USD</t>
        </is>
      </c>
      <c r="H64" s="4" t="n">
        <v>601.79</v>
      </c>
      <c r="I64" s="5" t="inlineStr">
        <is>
          <t>18890009780 07232C00577850001-18890009780 SB99991889</t>
        </is>
      </c>
      <c r="J64" s="3">
        <f>IF(C64="","",TODAY()-C64)</f>
        <v/>
      </c>
    </row>
    <row r="65">
      <c r="A65" s="5" t="inlineStr">
        <is>
          <t>UN0150</t>
        </is>
      </c>
      <c r="B65" s="3" t="inlineStr">
        <is>
          <t>63010502</t>
        </is>
      </c>
      <c r="C65" s="6" t="n">
        <v>44171</v>
      </c>
      <c r="D65" s="3" t="inlineStr">
        <is>
          <t>FZ</t>
        </is>
      </c>
      <c r="E65" s="3" t="inlineStr">
        <is>
          <t>USD</t>
        </is>
      </c>
      <c r="F65" s="4" t="n">
        <v>635</v>
      </c>
      <c r="G65" s="3" t="inlineStr">
        <is>
          <t>USD</t>
        </is>
      </c>
      <c r="H65" s="4" t="n">
        <v>635</v>
      </c>
      <c r="I65" s="5" t="inlineStr">
        <is>
          <t>18890009782 07232C005781889001-18890009782 SB99991889</t>
        </is>
      </c>
      <c r="J65" s="3">
        <f>IF(C65="","",TODAY()-C65)</f>
        <v/>
      </c>
    </row>
    <row r="66">
      <c r="A66" s="5" t="inlineStr">
        <is>
          <t>UN0150</t>
        </is>
      </c>
      <c r="B66" s="3" t="inlineStr">
        <is>
          <t>63010502</t>
        </is>
      </c>
      <c r="C66" s="6" t="n">
        <v>44171</v>
      </c>
      <c r="D66" s="3" t="inlineStr">
        <is>
          <t>FZ</t>
        </is>
      </c>
      <c r="E66" s="3" t="inlineStr">
        <is>
          <t>USD</t>
        </is>
      </c>
      <c r="F66" s="4" t="n">
        <v>180.27</v>
      </c>
      <c r="G66" s="3" t="inlineStr">
        <is>
          <t>USD</t>
        </is>
      </c>
      <c r="H66" s="4" t="n">
        <v>180.27</v>
      </c>
      <c r="I66" s="5" t="inlineStr">
        <is>
          <t>18890009783 07232C00578230001-18890009783 SB99991889</t>
        </is>
      </c>
      <c r="J66" s="3">
        <f>IF(C66="","",TODAY()-C66)</f>
        <v/>
      </c>
    </row>
    <row r="67">
      <c r="A67" s="5" t="inlineStr">
        <is>
          <t>UN0150</t>
        </is>
      </c>
      <c r="B67" s="3" t="inlineStr">
        <is>
          <t>63010502</t>
        </is>
      </c>
      <c r="C67" s="6" t="n">
        <v>44171</v>
      </c>
      <c r="D67" s="3" t="inlineStr">
        <is>
          <t>FZ</t>
        </is>
      </c>
      <c r="E67" s="3" t="inlineStr">
        <is>
          <t>USD</t>
        </is>
      </c>
      <c r="F67" s="4" t="n">
        <v>342.24</v>
      </c>
      <c r="G67" s="3" t="inlineStr">
        <is>
          <t>USD</t>
        </is>
      </c>
      <c r="H67" s="4" t="n">
        <v>342.24</v>
      </c>
      <c r="I67" s="5" t="inlineStr">
        <is>
          <t>18890009785 07232C00578260001-18890009785 SB99991889</t>
        </is>
      </c>
      <c r="J67" s="3">
        <f>IF(C67="","",TODAY()-C67)</f>
        <v/>
      </c>
    </row>
    <row r="68">
      <c r="A68" s="5" t="inlineStr">
        <is>
          <t>UN0150</t>
        </is>
      </c>
      <c r="B68" s="3" t="inlineStr">
        <is>
          <t>63010502</t>
        </is>
      </c>
      <c r="C68" s="6" t="n">
        <v>44171</v>
      </c>
      <c r="D68" s="3" t="inlineStr">
        <is>
          <t>FZ</t>
        </is>
      </c>
      <c r="E68" s="3" t="inlineStr">
        <is>
          <t>USD</t>
        </is>
      </c>
      <c r="F68" s="4" t="n">
        <v>190.95</v>
      </c>
      <c r="G68" s="3" t="inlineStr">
        <is>
          <t>USD</t>
        </is>
      </c>
      <c r="H68" s="4" t="n">
        <v>190.95</v>
      </c>
      <c r="I68" s="5" t="inlineStr">
        <is>
          <t>18890009788 07232C00578490001-18890009788 SB99991889</t>
        </is>
      </c>
      <c r="J68" s="3">
        <f>IF(C68="","",TODAY()-C68)</f>
        <v/>
      </c>
    </row>
    <row r="69">
      <c r="A69" s="5" t="inlineStr">
        <is>
          <t>UN0150</t>
        </is>
      </c>
      <c r="B69" s="3" t="inlineStr">
        <is>
          <t>63010502</t>
        </is>
      </c>
      <c r="C69" s="6" t="n">
        <v>44171</v>
      </c>
      <c r="D69" s="3" t="inlineStr">
        <is>
          <t>FZ</t>
        </is>
      </c>
      <c r="E69" s="3" t="inlineStr">
        <is>
          <t>USD</t>
        </is>
      </c>
      <c r="F69" s="4" t="n">
        <v>131</v>
      </c>
      <c r="G69" s="3" t="inlineStr">
        <is>
          <t>USD</t>
        </is>
      </c>
      <c r="H69" s="4" t="n">
        <v>131</v>
      </c>
      <c r="I69" s="5" t="inlineStr">
        <is>
          <t>18890009790 07232C00578660001-18890009790 SB99991889</t>
        </is>
      </c>
      <c r="J69" s="3">
        <f>IF(C69="","",TODAY()-C69)</f>
        <v/>
      </c>
    </row>
    <row r="70">
      <c r="A70" s="5" t="inlineStr">
        <is>
          <t>UN0150</t>
        </is>
      </c>
      <c r="B70" s="3" t="inlineStr">
        <is>
          <t>63010502</t>
        </is>
      </c>
      <c r="C70" s="6" t="n">
        <v>44171</v>
      </c>
      <c r="D70" s="3" t="inlineStr">
        <is>
          <t>FZ</t>
        </is>
      </c>
      <c r="E70" s="3" t="inlineStr">
        <is>
          <t>USD</t>
        </is>
      </c>
      <c r="F70" s="4" t="n">
        <v>1616.77</v>
      </c>
      <c r="G70" s="3" t="inlineStr">
        <is>
          <t>USD</t>
        </is>
      </c>
      <c r="H70" s="4" t="n">
        <v>1616.77</v>
      </c>
      <c r="I70" s="5" t="inlineStr">
        <is>
          <t>18890009792 07232C00578690001-18890009792 SB99991889</t>
        </is>
      </c>
      <c r="J70" s="3">
        <f>IF(C70="","",TODAY()-C70)</f>
        <v/>
      </c>
    </row>
    <row r="71">
      <c r="A71" s="5" t="inlineStr">
        <is>
          <t>UN0150</t>
        </is>
      </c>
      <c r="B71" s="3" t="inlineStr">
        <is>
          <t>63010502</t>
        </is>
      </c>
      <c r="C71" s="6" t="n">
        <v>44171</v>
      </c>
      <c r="D71" s="3" t="inlineStr">
        <is>
          <t>FZ</t>
        </is>
      </c>
      <c r="E71" s="3" t="inlineStr">
        <is>
          <t>USD</t>
        </is>
      </c>
      <c r="F71" s="4" t="n">
        <v>11354.55</v>
      </c>
      <c r="G71" s="3" t="inlineStr">
        <is>
          <t>USD</t>
        </is>
      </c>
      <c r="H71" s="4" t="n">
        <v>11354.55</v>
      </c>
      <c r="I71" s="5" t="inlineStr">
        <is>
          <t>18890009793 07232C00578700001-18890009793 LK5BT18896</t>
        </is>
      </c>
      <c r="J71" s="3">
        <f>IF(C71="","",TODAY()-C71)</f>
        <v/>
      </c>
    </row>
    <row r="72">
      <c r="A72" s="5" t="inlineStr">
        <is>
          <t>UN0150</t>
        </is>
      </c>
      <c r="B72" s="3" t="inlineStr">
        <is>
          <t>63010502</t>
        </is>
      </c>
      <c r="C72" s="6" t="n">
        <v>44171</v>
      </c>
      <c r="D72" s="3" t="inlineStr">
        <is>
          <t>FZ</t>
        </is>
      </c>
      <c r="E72" s="3" t="inlineStr">
        <is>
          <t>USD</t>
        </is>
      </c>
      <c r="F72" s="4" t="n">
        <v>1392.89</v>
      </c>
      <c r="G72" s="3" t="inlineStr">
        <is>
          <t>USD</t>
        </is>
      </c>
      <c r="H72" s="4" t="n">
        <v>1392.89</v>
      </c>
      <c r="I72" s="5" t="inlineStr">
        <is>
          <t>18890009795 07232C005788188901-18890009795 SB99991889</t>
        </is>
      </c>
      <c r="J72" s="3">
        <f>IF(C72="","",TODAY()-C72)</f>
        <v/>
      </c>
    </row>
    <row r="73">
      <c r="A73" s="5" t="inlineStr">
        <is>
          <t>UN0150</t>
        </is>
      </c>
      <c r="B73" s="3" t="inlineStr">
        <is>
          <t>63010502</t>
        </is>
      </c>
      <c r="C73" s="6" t="n">
        <v>44171</v>
      </c>
      <c r="D73" s="3" t="inlineStr">
        <is>
          <t>FZ</t>
        </is>
      </c>
      <c r="E73" s="3" t="inlineStr">
        <is>
          <t>USD</t>
        </is>
      </c>
      <c r="F73" s="4" t="n">
        <v>2241</v>
      </c>
      <c r="G73" s="3" t="inlineStr">
        <is>
          <t>USD</t>
        </is>
      </c>
      <c r="H73" s="4" t="n">
        <v>2241</v>
      </c>
      <c r="I73" s="5" t="inlineStr">
        <is>
          <t>18890009796 07232C00578810001-18890009796 SB99991889</t>
        </is>
      </c>
      <c r="J73" s="3">
        <f>IF(C73="","",TODAY()-C73)</f>
        <v/>
      </c>
    </row>
    <row r="74">
      <c r="A74" s="5" t="inlineStr">
        <is>
          <t>UN0150</t>
        </is>
      </c>
      <c r="B74" s="3" t="inlineStr">
        <is>
          <t>63010502</t>
        </is>
      </c>
      <c r="C74" s="6" t="n">
        <v>44171</v>
      </c>
      <c r="D74" s="3" t="inlineStr">
        <is>
          <t>FZ</t>
        </is>
      </c>
      <c r="E74" s="3" t="inlineStr">
        <is>
          <t>USD</t>
        </is>
      </c>
      <c r="F74" s="4" t="n">
        <v>72</v>
      </c>
      <c r="G74" s="3" t="inlineStr">
        <is>
          <t>USD</t>
        </is>
      </c>
      <c r="H74" s="4" t="n">
        <v>72</v>
      </c>
      <c r="I74" s="5" t="n">
        <v/>
      </c>
      <c r="J74" s="3">
        <f>IF(C74="","",TODAY()-C74)</f>
        <v/>
      </c>
    </row>
    <row r="75">
      <c r="A75" s="5" t="inlineStr">
        <is>
          <t>UN0150</t>
        </is>
      </c>
      <c r="B75" s="3" t="inlineStr">
        <is>
          <t>63010502</t>
        </is>
      </c>
      <c r="C75" s="6" t="n">
        <v>44171</v>
      </c>
      <c r="D75" s="3" t="inlineStr">
        <is>
          <t>FZ</t>
        </is>
      </c>
      <c r="E75" s="3" t="inlineStr">
        <is>
          <t>USD</t>
        </is>
      </c>
      <c r="F75" s="4" t="n">
        <v>20</v>
      </c>
      <c r="G75" s="3" t="inlineStr">
        <is>
          <t>USD</t>
        </is>
      </c>
      <c r="H75" s="4" t="n">
        <v>20</v>
      </c>
      <c r="I75" s="5" t="inlineStr">
        <is>
          <t>TUNF BT ST999918896090170 CRR BNK CHGS</t>
        </is>
      </c>
      <c r="J75" s="3">
        <f>IF(C75="","",TODAY()-C75)</f>
        <v/>
      </c>
    </row>
    <row r="76">
      <c r="A76" s="5" t="inlineStr">
        <is>
          <t>UN0150</t>
        </is>
      </c>
      <c r="B76" s="3" t="inlineStr">
        <is>
          <t>63010502</t>
        </is>
      </c>
      <c r="C76" s="6" t="n">
        <v>44171</v>
      </c>
      <c r="D76" s="3" t="inlineStr">
        <is>
          <t>FZ</t>
        </is>
      </c>
      <c r="E76" s="3" t="inlineStr">
        <is>
          <t>USD</t>
        </is>
      </c>
      <c r="F76" s="4" t="n">
        <v>2164.3</v>
      </c>
      <c r="G76" s="3" t="inlineStr">
        <is>
          <t>USD</t>
        </is>
      </c>
      <c r="H76" s="4" t="n">
        <v>2164.3</v>
      </c>
      <c r="I76" s="5" t="inlineStr">
        <is>
          <t>18890009797 07232C00578910001-18890009797 SB99991889</t>
        </is>
      </c>
      <c r="J76" s="3">
        <f>IF(C76="","",TODAY()-C76)</f>
        <v/>
      </c>
    </row>
    <row r="77">
      <c r="A77" s="5" t="inlineStr">
        <is>
          <t>UN0150</t>
        </is>
      </c>
      <c r="B77" s="3" t="inlineStr">
        <is>
          <t>63010502</t>
        </is>
      </c>
      <c r="C77" s="6" t="n">
        <v>44171</v>
      </c>
      <c r="D77" s="3" t="inlineStr">
        <is>
          <t>FZ</t>
        </is>
      </c>
      <c r="E77" s="3" t="inlineStr">
        <is>
          <t>USD</t>
        </is>
      </c>
      <c r="F77" s="4" t="n">
        <v>127.2</v>
      </c>
      <c r="G77" s="3" t="inlineStr">
        <is>
          <t>USD</t>
        </is>
      </c>
      <c r="H77" s="4" t="n">
        <v>127.2</v>
      </c>
      <c r="I77" s="5" t="inlineStr">
        <is>
          <t>18890009798 07232C00579040001-18890009798 SB99991889</t>
        </is>
      </c>
      <c r="J77" s="3">
        <f>IF(C77="","",TODAY()-C77)</f>
        <v/>
      </c>
    </row>
    <row r="78">
      <c r="A78" s="5" t="inlineStr">
        <is>
          <t>UN0150</t>
        </is>
      </c>
      <c r="B78" s="3" t="inlineStr">
        <is>
          <t>63010502</t>
        </is>
      </c>
      <c r="C78" s="6" t="n">
        <v>44171</v>
      </c>
      <c r="D78" s="3" t="inlineStr">
        <is>
          <t>FZ</t>
        </is>
      </c>
      <c r="E78" s="3" t="inlineStr">
        <is>
          <t>USD</t>
        </is>
      </c>
      <c r="F78" s="4" t="n">
        <v>329.6</v>
      </c>
      <c r="G78" s="3" t="inlineStr">
        <is>
          <t>USD</t>
        </is>
      </c>
      <c r="H78" s="4" t="n">
        <v>329.6</v>
      </c>
      <c r="I78" s="5" t="inlineStr">
        <is>
          <t>18890009803 07232C00579230001-18890009803 SB99991889</t>
        </is>
      </c>
      <c r="J78" s="3">
        <f>IF(C78="","",TODAY()-C78)</f>
        <v/>
      </c>
    </row>
    <row r="79">
      <c r="A79" s="5" t="inlineStr">
        <is>
          <t>UN0150</t>
        </is>
      </c>
      <c r="B79" s="3" t="inlineStr">
        <is>
          <t>63010502</t>
        </is>
      </c>
      <c r="C79" s="6" t="n">
        <v>44171</v>
      </c>
      <c r="D79" s="3" t="inlineStr">
        <is>
          <t>FZ</t>
        </is>
      </c>
      <c r="E79" s="3" t="inlineStr">
        <is>
          <t>USD</t>
        </is>
      </c>
      <c r="F79" s="4" t="n">
        <v>1940.05</v>
      </c>
      <c r="G79" s="3" t="inlineStr">
        <is>
          <t>USD</t>
        </is>
      </c>
      <c r="H79" s="4" t="n">
        <v>1940.05</v>
      </c>
      <c r="I79" s="5" t="inlineStr">
        <is>
          <t>18890009804 07232C00579890001-18890009804 SB99991889</t>
        </is>
      </c>
      <c r="J79" s="3">
        <f>IF(C79="","",TODAY()-C79)</f>
        <v/>
      </c>
    </row>
    <row r="80">
      <c r="A80" s="5" t="inlineStr">
        <is>
          <t>UN0150</t>
        </is>
      </c>
      <c r="B80" s="3" t="inlineStr">
        <is>
          <t>63010502</t>
        </is>
      </c>
      <c r="C80" s="6" t="n">
        <v>44171</v>
      </c>
      <c r="D80" s="3" t="inlineStr">
        <is>
          <t>FZ</t>
        </is>
      </c>
      <c r="E80" s="3" t="inlineStr">
        <is>
          <t>USD</t>
        </is>
      </c>
      <c r="F80" s="4" t="n">
        <v>447.7</v>
      </c>
      <c r="G80" s="3" t="inlineStr">
        <is>
          <t>USD</t>
        </is>
      </c>
      <c r="H80" s="4" t="n">
        <v>447.7</v>
      </c>
      <c r="I80" s="5" t="inlineStr">
        <is>
          <t>18890009805 07232C00579260001-18890009805 SB99991889</t>
        </is>
      </c>
      <c r="J80" s="3">
        <f>IF(C80="","",TODAY()-C80)</f>
        <v/>
      </c>
    </row>
    <row r="81">
      <c r="A81" s="5" t="inlineStr">
        <is>
          <t>UN0150</t>
        </is>
      </c>
      <c r="B81" s="3" t="inlineStr">
        <is>
          <t>63010502</t>
        </is>
      </c>
      <c r="C81" s="6" t="n">
        <v>44171</v>
      </c>
      <c r="D81" s="3" t="inlineStr">
        <is>
          <t>FZ</t>
        </is>
      </c>
      <c r="E81" s="3" t="inlineStr">
        <is>
          <t>USD</t>
        </is>
      </c>
      <c r="F81" s="4" t="n">
        <v>4353.55</v>
      </c>
      <c r="G81" s="3" t="inlineStr">
        <is>
          <t>USD</t>
        </is>
      </c>
      <c r="H81" s="4" t="n">
        <v>4353.55</v>
      </c>
      <c r="I81" s="5" t="inlineStr">
        <is>
          <t>18890009799 07232C00579190001-18890009799 SB99991889</t>
        </is>
      </c>
      <c r="J81" s="3">
        <f>IF(C81="","",TODAY()-C81)</f>
        <v/>
      </c>
    </row>
    <row r="82">
      <c r="A82" s="5" t="inlineStr">
        <is>
          <t>UN0150</t>
        </is>
      </c>
      <c r="B82" s="3" t="inlineStr">
        <is>
          <t>63010502</t>
        </is>
      </c>
      <c r="C82" s="6" t="n">
        <v>44171</v>
      </c>
      <c r="D82" s="3" t="inlineStr">
        <is>
          <t>FZ</t>
        </is>
      </c>
      <c r="E82" s="3" t="inlineStr">
        <is>
          <t>USD</t>
        </is>
      </c>
      <c r="F82" s="4" t="n">
        <v>8941.91</v>
      </c>
      <c r="G82" s="3" t="inlineStr">
        <is>
          <t>USD</t>
        </is>
      </c>
      <c r="H82" s="4" t="n">
        <v>8941.91</v>
      </c>
      <c r="I82" s="5" t="inlineStr">
        <is>
          <t>18890009801 07232C005791889001-18890009801 SB99991889</t>
        </is>
      </c>
      <c r="J82" s="3">
        <f>IF(C82="","",TODAY()-C82)</f>
        <v/>
      </c>
    </row>
    <row r="83">
      <c r="A83" s="5" t="inlineStr">
        <is>
          <t>UN0150</t>
        </is>
      </c>
      <c r="B83" s="3" t="inlineStr">
        <is>
          <t>63010502</t>
        </is>
      </c>
      <c r="C83" s="6" t="n">
        <v>44171</v>
      </c>
      <c r="D83" s="3" t="inlineStr">
        <is>
          <t>FZ</t>
        </is>
      </c>
      <c r="E83" s="3" t="inlineStr">
        <is>
          <t>USD</t>
        </is>
      </c>
      <c r="F83" s="4" t="n">
        <v>12474.55</v>
      </c>
      <c r="G83" s="3" t="inlineStr">
        <is>
          <t>USD</t>
        </is>
      </c>
      <c r="H83" s="4" t="n">
        <v>12474.55</v>
      </c>
      <c r="I83" s="5" t="inlineStr">
        <is>
          <t>18890009809 07232C00579280001-18890009809 SB99991889</t>
        </is>
      </c>
      <c r="J83" s="3">
        <f>IF(C83="","",TODAY()-C83)</f>
        <v/>
      </c>
    </row>
    <row r="84">
      <c r="A84" s="5" t="inlineStr">
        <is>
          <t>UN0150</t>
        </is>
      </c>
      <c r="B84" s="3" t="inlineStr">
        <is>
          <t>63010502</t>
        </is>
      </c>
      <c r="C84" s="6" t="n">
        <v>44171</v>
      </c>
      <c r="D84" s="3" t="inlineStr">
        <is>
          <t>FZ</t>
        </is>
      </c>
      <c r="E84" s="3" t="inlineStr">
        <is>
          <t>USD</t>
        </is>
      </c>
      <c r="F84" s="4" t="n">
        <v>426.62</v>
      </c>
      <c r="G84" s="3" t="inlineStr">
        <is>
          <t>USD</t>
        </is>
      </c>
      <c r="H84" s="4" t="n">
        <v>426.62</v>
      </c>
      <c r="I84" s="5" t="inlineStr">
        <is>
          <t>18890009810 07232C00579370001-18890009810 SB99991889</t>
        </is>
      </c>
      <c r="J84" s="3">
        <f>IF(C84="","",TODAY()-C84)</f>
        <v/>
      </c>
    </row>
    <row r="85">
      <c r="A85" s="5" t="inlineStr">
        <is>
          <t>UN0150</t>
        </is>
      </c>
      <c r="B85" s="3" t="inlineStr">
        <is>
          <t>63010502</t>
        </is>
      </c>
      <c r="C85" s="6" t="n">
        <v>44171</v>
      </c>
      <c r="D85" s="3" t="inlineStr">
        <is>
          <t>FZ</t>
        </is>
      </c>
      <c r="E85" s="3" t="inlineStr">
        <is>
          <t>USD</t>
        </is>
      </c>
      <c r="F85" s="4" t="n">
        <v>164.6</v>
      </c>
      <c r="G85" s="3" t="inlineStr">
        <is>
          <t>USD</t>
        </is>
      </c>
      <c r="H85" s="4" t="n">
        <v>164.6</v>
      </c>
      <c r="I85" s="5" t="inlineStr">
        <is>
          <t>18890009811 07232C00579410001-18890009811 SB99991889</t>
        </is>
      </c>
      <c r="J85" s="3">
        <f>IF(C85="","",TODAY()-C85)</f>
        <v/>
      </c>
    </row>
    <row r="86">
      <c r="A86" s="5" t="inlineStr">
        <is>
          <t>UN0150</t>
        </is>
      </c>
      <c r="B86" s="3" t="inlineStr">
        <is>
          <t>63010502</t>
        </is>
      </c>
      <c r="C86" s="6" t="n">
        <v>44171</v>
      </c>
      <c r="D86" s="3" t="inlineStr">
        <is>
          <t>FZ</t>
        </is>
      </c>
      <c r="E86" s="3" t="inlineStr">
        <is>
          <t>USD</t>
        </is>
      </c>
      <c r="F86" s="4" t="n">
        <v>175.5</v>
      </c>
      <c r="G86" s="3" t="inlineStr">
        <is>
          <t>USD</t>
        </is>
      </c>
      <c r="H86" s="4" t="n">
        <v>175.5</v>
      </c>
      <c r="I86" s="5" t="inlineStr">
        <is>
          <t>18890009812 07232C005796188901-18890009812 SB99991889</t>
        </is>
      </c>
      <c r="J86" s="3">
        <f>IF(C86="","",TODAY()-C86)</f>
        <v/>
      </c>
    </row>
    <row r="87">
      <c r="A87" s="5" t="inlineStr">
        <is>
          <t>UN0150</t>
        </is>
      </c>
      <c r="B87" s="3" t="inlineStr">
        <is>
          <t>63010502</t>
        </is>
      </c>
      <c r="C87" s="6" t="n">
        <v>44171</v>
      </c>
      <c r="D87" s="3" t="inlineStr">
        <is>
          <t>FZ</t>
        </is>
      </c>
      <c r="E87" s="3" t="inlineStr">
        <is>
          <t>USD</t>
        </is>
      </c>
      <c r="F87" s="4" t="n">
        <v>50.7</v>
      </c>
      <c r="G87" s="3" t="inlineStr">
        <is>
          <t>USD</t>
        </is>
      </c>
      <c r="H87" s="4" t="n">
        <v>50.7</v>
      </c>
      <c r="I87" s="5" t="inlineStr">
        <is>
          <t>18890009813 07232C005797188901-18890009813 SB99991889</t>
        </is>
      </c>
      <c r="J87" s="3">
        <f>IF(C87="","",TODAY()-C87)</f>
        <v/>
      </c>
    </row>
    <row r="88">
      <c r="A88" s="5" t="inlineStr">
        <is>
          <t>UN0150</t>
        </is>
      </c>
      <c r="B88" s="3" t="inlineStr">
        <is>
          <t>63010502</t>
        </is>
      </c>
      <c r="C88" s="6" t="n">
        <v>44171</v>
      </c>
      <c r="D88" s="3" t="inlineStr">
        <is>
          <t>FZ</t>
        </is>
      </c>
      <c r="E88" s="3" t="inlineStr">
        <is>
          <t>USD</t>
        </is>
      </c>
      <c r="F88" s="4" t="n">
        <v>172.8</v>
      </c>
      <c r="G88" s="3" t="inlineStr">
        <is>
          <t>USD</t>
        </is>
      </c>
      <c r="H88" s="4" t="n">
        <v>172.8</v>
      </c>
      <c r="I88" s="5" t="inlineStr">
        <is>
          <t>828219 07232C00579640001-21889000318 LK5BT1889616EU0</t>
        </is>
      </c>
      <c r="J88" s="3">
        <f>IF(C88="","",TODAY()-C88)</f>
        <v/>
      </c>
    </row>
    <row r="89">
      <c r="A89" s="5" t="inlineStr">
        <is>
          <t>UN0100</t>
        </is>
      </c>
      <c r="B89" s="3" t="inlineStr">
        <is>
          <t>63010502</t>
        </is>
      </c>
      <c r="C89" s="6" t="n">
        <v>44141</v>
      </c>
      <c r="D89" s="3" t="inlineStr">
        <is>
          <t>FZ</t>
        </is>
      </c>
      <c r="E89" s="3" t="inlineStr">
        <is>
          <t>USD</t>
        </is>
      </c>
      <c r="F89" s="4" t="n">
        <v>1000000</v>
      </c>
      <c r="G89" s="3" t="inlineStr">
        <is>
          <t>USD</t>
        </is>
      </c>
      <c r="H89" s="4" t="n">
        <v>1000000</v>
      </c>
      <c r="I89" s="5" t="inlineStr">
        <is>
          <t>EUTG20FT0056 07232C00581790001-EUTG20FT0056 SB99992</t>
        </is>
      </c>
      <c r="J89" s="3">
        <f>IF(C89="","",TODAY()-C89)</f>
        <v/>
      </c>
    </row>
    <row r="90">
      <c r="A90" s="5" t="inlineStr">
        <is>
          <t>UN0150</t>
        </is>
      </c>
      <c r="B90" s="3" t="inlineStr">
        <is>
          <t>63010502</t>
        </is>
      </c>
      <c r="C90" s="6" t="n">
        <v>44171</v>
      </c>
      <c r="D90" s="3" t="inlineStr">
        <is>
          <t>FZ</t>
        </is>
      </c>
      <c r="E90" s="3" t="inlineStr">
        <is>
          <t>USD</t>
        </is>
      </c>
      <c r="F90" s="4" t="n">
        <v>183.24</v>
      </c>
      <c r="G90" s="3" t="inlineStr">
        <is>
          <t>USD</t>
        </is>
      </c>
      <c r="H90" s="4" t="n">
        <v>183.24</v>
      </c>
      <c r="I90" s="5" t="n">
        <v/>
      </c>
      <c r="J90" s="3">
        <f>IF(C90="","",TODAY()-C90)</f>
        <v/>
      </c>
    </row>
    <row r="91">
      <c r="A91" s="5" t="inlineStr">
        <is>
          <t>UN0150</t>
        </is>
      </c>
      <c r="B91" s="3" t="inlineStr">
        <is>
          <t>63010502</t>
        </is>
      </c>
      <c r="C91" s="6" t="n">
        <v>44171</v>
      </c>
      <c r="D91" s="3" t="inlineStr">
        <is>
          <t>FZ</t>
        </is>
      </c>
      <c r="E91" s="3" t="inlineStr">
        <is>
          <t>USD</t>
        </is>
      </c>
      <c r="F91" s="4" t="n">
        <v>10989.79</v>
      </c>
      <c r="G91" s="3" t="inlineStr">
        <is>
          <t>USD</t>
        </is>
      </c>
      <c r="H91" s="4" t="n">
        <v>10989.79</v>
      </c>
      <c r="I91" s="5" t="n">
        <v/>
      </c>
      <c r="J91" s="3">
        <f>IF(C91="","",TODAY()-C91)</f>
        <v/>
      </c>
    </row>
    <row r="92">
      <c r="A92" s="5" t="inlineStr">
        <is>
          <t>UN0150</t>
        </is>
      </c>
      <c r="B92" s="3" t="inlineStr">
        <is>
          <t>63010502</t>
        </is>
      </c>
      <c r="C92" s="6" t="n">
        <v>44171</v>
      </c>
      <c r="D92" s="3" t="inlineStr">
        <is>
          <t>FZ</t>
        </is>
      </c>
      <c r="E92" s="3" t="inlineStr">
        <is>
          <t>USD</t>
        </is>
      </c>
      <c r="F92" s="4" t="n">
        <v>237.11</v>
      </c>
      <c r="G92" s="3" t="inlineStr">
        <is>
          <t>USD</t>
        </is>
      </c>
      <c r="H92" s="4" t="n">
        <v>237.11</v>
      </c>
      <c r="I92" s="5" t="n">
        <v/>
      </c>
      <c r="J92" s="3">
        <f>IF(C92="","",TODAY()-C92)</f>
        <v/>
      </c>
    </row>
    <row r="93">
      <c r="A93" s="5" t="inlineStr">
        <is>
          <t>UN0150</t>
        </is>
      </c>
      <c r="B93" s="3" t="inlineStr">
        <is>
          <t>63010502</t>
        </is>
      </c>
      <c r="C93" s="6" t="n">
        <v>44171</v>
      </c>
      <c r="D93" s="3" t="inlineStr">
        <is>
          <t>FZ</t>
        </is>
      </c>
      <c r="E93" s="3" t="inlineStr">
        <is>
          <t>USD</t>
        </is>
      </c>
      <c r="F93" s="4" t="n">
        <v>816.9</v>
      </c>
      <c r="G93" s="3" t="inlineStr">
        <is>
          <t>USD</t>
        </is>
      </c>
      <c r="H93" s="4" t="n">
        <v>816.9</v>
      </c>
      <c r="I93" s="5" t="n">
        <v/>
      </c>
      <c r="J93" s="3">
        <f>IF(C93="","",TODAY()-C93)</f>
        <v/>
      </c>
    </row>
    <row r="94">
      <c r="A94" s="5" t="inlineStr">
        <is>
          <t>UN0150</t>
        </is>
      </c>
      <c r="B94" s="3" t="inlineStr">
        <is>
          <t>63010502</t>
        </is>
      </c>
      <c r="C94" s="6" t="n">
        <v>44171</v>
      </c>
      <c r="D94" s="3" t="inlineStr">
        <is>
          <t>FZ</t>
        </is>
      </c>
      <c r="E94" s="3" t="inlineStr">
        <is>
          <t>USD</t>
        </is>
      </c>
      <c r="F94" s="4" t="n">
        <v>435</v>
      </c>
      <c r="G94" s="3" t="inlineStr">
        <is>
          <t>USD</t>
        </is>
      </c>
      <c r="H94" s="4" t="n">
        <v>435</v>
      </c>
      <c r="I94" s="5" t="n">
        <v/>
      </c>
      <c r="J94" s="3">
        <f>IF(C94="","",TODAY()-C94)</f>
        <v/>
      </c>
    </row>
    <row r="95">
      <c r="A95" s="5" t="inlineStr">
        <is>
          <t>UN0150</t>
        </is>
      </c>
      <c r="B95" s="3" t="inlineStr">
        <is>
          <t>63010502</t>
        </is>
      </c>
      <c r="C95" s="6" t="n">
        <v>44171</v>
      </c>
      <c r="D95" s="3" t="inlineStr">
        <is>
          <t>FZ</t>
        </is>
      </c>
      <c r="E95" s="3" t="inlineStr">
        <is>
          <t>USD</t>
        </is>
      </c>
      <c r="F95" s="4" t="n">
        <v>1460.75</v>
      </c>
      <c r="G95" s="3" t="inlineStr">
        <is>
          <t>USD</t>
        </is>
      </c>
      <c r="H95" s="4" t="n">
        <v>1460.75</v>
      </c>
      <c r="I95" s="5" t="n">
        <v/>
      </c>
      <c r="J95" s="3">
        <f>IF(C95="","",TODAY()-C95)</f>
        <v/>
      </c>
    </row>
    <row r="96">
      <c r="A96" s="5" t="inlineStr">
        <is>
          <t>UN0150</t>
        </is>
      </c>
      <c r="B96" s="3" t="inlineStr">
        <is>
          <t>63010502</t>
        </is>
      </c>
      <c r="C96" s="6" t="n">
        <v>44171</v>
      </c>
      <c r="D96" s="3" t="inlineStr">
        <is>
          <t>FZ</t>
        </is>
      </c>
      <c r="E96" s="3" t="inlineStr">
        <is>
          <t>USD</t>
        </is>
      </c>
      <c r="F96" s="4" t="n">
        <v>2293.5</v>
      </c>
      <c r="G96" s="3" t="inlineStr">
        <is>
          <t>USD</t>
        </is>
      </c>
      <c r="H96" s="4" t="n">
        <v>2293.5</v>
      </c>
      <c r="I96" s="5" t="inlineStr">
        <is>
          <t>18890009827 07232C00580560001-18890009827 SB99991889</t>
        </is>
      </c>
      <c r="J96" s="3">
        <f>IF(C96="","",TODAY()-C96)</f>
        <v/>
      </c>
    </row>
    <row r="97">
      <c r="A97" s="5" t="inlineStr">
        <is>
          <t>UN0150</t>
        </is>
      </c>
      <c r="B97" s="3" t="inlineStr">
        <is>
          <t>63010502</t>
        </is>
      </c>
      <c r="C97" s="6" t="n">
        <v>44171</v>
      </c>
      <c r="D97" s="3" t="inlineStr">
        <is>
          <t>FZ</t>
        </is>
      </c>
      <c r="E97" s="3" t="inlineStr">
        <is>
          <t>USD</t>
        </is>
      </c>
      <c r="F97" s="4" t="n">
        <v>154.2</v>
      </c>
      <c r="G97" s="3" t="inlineStr">
        <is>
          <t>USD</t>
        </is>
      </c>
      <c r="H97" s="4" t="n">
        <v>154.2</v>
      </c>
      <c r="I97" s="5" t="inlineStr">
        <is>
          <t>18890009828 07232C00580570001-18890009828 SB99991889</t>
        </is>
      </c>
      <c r="J97" s="3">
        <f>IF(C97="","",TODAY()-C97)</f>
        <v/>
      </c>
    </row>
    <row r="98">
      <c r="A98" s="5" t="inlineStr">
        <is>
          <t>UN0150</t>
        </is>
      </c>
      <c r="B98" s="3" t="inlineStr">
        <is>
          <t>63010502</t>
        </is>
      </c>
      <c r="C98" s="6" t="n">
        <v>44171</v>
      </c>
      <c r="D98" s="3" t="inlineStr">
        <is>
          <t>FZ</t>
        </is>
      </c>
      <c r="E98" s="3" t="inlineStr">
        <is>
          <t>USD</t>
        </is>
      </c>
      <c r="F98" s="4" t="n">
        <v>5038</v>
      </c>
      <c r="G98" s="3" t="inlineStr">
        <is>
          <t>USD</t>
        </is>
      </c>
      <c r="H98" s="4" t="n">
        <v>5038</v>
      </c>
      <c r="I98" s="5" t="inlineStr">
        <is>
          <t>18890009832 07232C00580700001-18890009832 SB99991889</t>
        </is>
      </c>
      <c r="J98" s="3">
        <f>IF(C98="","",TODAY()-C98)</f>
        <v/>
      </c>
    </row>
    <row r="99">
      <c r="A99" s="5" t="inlineStr">
        <is>
          <t>UN0150</t>
        </is>
      </c>
      <c r="B99" s="3" t="inlineStr">
        <is>
          <t>63010502</t>
        </is>
      </c>
      <c r="C99" s="6" t="n">
        <v>44171</v>
      </c>
      <c r="D99" s="3" t="inlineStr">
        <is>
          <t>FZ</t>
        </is>
      </c>
      <c r="E99" s="3" t="inlineStr">
        <is>
          <t>USD</t>
        </is>
      </c>
      <c r="F99" s="4" t="n">
        <v>1645.98</v>
      </c>
      <c r="G99" s="3" t="inlineStr">
        <is>
          <t>USD</t>
        </is>
      </c>
      <c r="H99" s="4" t="n">
        <v>1645.98</v>
      </c>
      <c r="I99" s="5" t="n">
        <v/>
      </c>
      <c r="J99" s="3">
        <f>IF(C99="","",TODAY()-C99)</f>
        <v/>
      </c>
    </row>
    <row r="100">
      <c r="A100" s="5" t="inlineStr">
        <is>
          <t>UN0150</t>
        </is>
      </c>
      <c r="B100" s="3" t="inlineStr">
        <is>
          <t>63010502</t>
        </is>
      </c>
      <c r="C100" s="6" t="n">
        <v>44171</v>
      </c>
      <c r="D100" s="3" t="inlineStr">
        <is>
          <t>FZ</t>
        </is>
      </c>
      <c r="E100" s="3" t="inlineStr">
        <is>
          <t>USD</t>
        </is>
      </c>
      <c r="F100" s="4" t="n">
        <v>806.1799999999999</v>
      </c>
      <c r="G100" s="3" t="inlineStr">
        <is>
          <t>USD</t>
        </is>
      </c>
      <c r="H100" s="4" t="n">
        <v>806.1799999999999</v>
      </c>
      <c r="I100" s="5" t="n">
        <v/>
      </c>
      <c r="J100" s="3">
        <f>IF(C100="","",TODAY()-C100)</f>
        <v/>
      </c>
    </row>
    <row r="101">
      <c r="A101" s="5" t="inlineStr">
        <is>
          <t>UN0150</t>
        </is>
      </c>
      <c r="B101" s="3" t="inlineStr">
        <is>
          <t>63010502</t>
        </is>
      </c>
      <c r="C101" s="6" t="n">
        <v>44171</v>
      </c>
      <c r="D101" s="3" t="inlineStr">
        <is>
          <t>FZ</t>
        </is>
      </c>
      <c r="E101" s="3" t="inlineStr">
        <is>
          <t>USD</t>
        </is>
      </c>
      <c r="F101" s="4" t="n">
        <v>28361.62</v>
      </c>
      <c r="G101" s="3" t="inlineStr">
        <is>
          <t>USD</t>
        </is>
      </c>
      <c r="H101" s="4" t="n">
        <v>28361.62</v>
      </c>
      <c r="I101" s="5" t="n">
        <v/>
      </c>
      <c r="J101" s="3">
        <f>IF(C101="","",TODAY()-C101)</f>
        <v/>
      </c>
    </row>
    <row r="102">
      <c r="A102" s="5" t="inlineStr">
        <is>
          <t>UN0150</t>
        </is>
      </c>
      <c r="B102" s="3" t="inlineStr">
        <is>
          <t>63010502</t>
        </is>
      </c>
      <c r="C102" s="6" t="n">
        <v>44171</v>
      </c>
      <c r="D102" s="3" t="inlineStr">
        <is>
          <t>FZ</t>
        </is>
      </c>
      <c r="E102" s="3" t="inlineStr">
        <is>
          <t>USD</t>
        </is>
      </c>
      <c r="F102" s="4" t="n">
        <v>470.53</v>
      </c>
      <c r="G102" s="3" t="inlineStr">
        <is>
          <t>USD</t>
        </is>
      </c>
      <c r="H102" s="4" t="n">
        <v>470.53</v>
      </c>
      <c r="I102" s="5" t="inlineStr">
        <is>
          <t>18890009846 07232C00580900001-18890009846 SB99991889</t>
        </is>
      </c>
      <c r="J102" s="3">
        <f>IF(C102="","",TODAY()-C102)</f>
        <v/>
      </c>
    </row>
    <row r="103">
      <c r="A103" s="5" t="inlineStr">
        <is>
          <t>UN0150</t>
        </is>
      </c>
      <c r="B103" s="3" t="inlineStr">
        <is>
          <t>63010502</t>
        </is>
      </c>
      <c r="C103" s="6" t="n">
        <v>44171</v>
      </c>
      <c r="D103" s="3" t="inlineStr">
        <is>
          <t>FZ</t>
        </is>
      </c>
      <c r="E103" s="3" t="inlineStr">
        <is>
          <t>USD</t>
        </is>
      </c>
      <c r="F103" s="4" t="n">
        <v>141.8</v>
      </c>
      <c r="G103" s="3" t="inlineStr">
        <is>
          <t>USD</t>
        </is>
      </c>
      <c r="H103" s="4" t="n">
        <v>141.8</v>
      </c>
      <c r="I103" s="5" t="inlineStr">
        <is>
          <t>18890009849 07232C00580930001-18890009849 SB99991889</t>
        </is>
      </c>
      <c r="J103" s="3">
        <f>IF(C103="","",TODAY()-C103)</f>
        <v/>
      </c>
    </row>
    <row r="104">
      <c r="A104" s="5" t="inlineStr">
        <is>
          <t>UN0150</t>
        </is>
      </c>
      <c r="B104" s="3" t="inlineStr">
        <is>
          <t>63010502</t>
        </is>
      </c>
      <c r="C104" s="6" t="n">
        <v>44171</v>
      </c>
      <c r="D104" s="3" t="inlineStr">
        <is>
          <t>FZ</t>
        </is>
      </c>
      <c r="E104" s="3" t="inlineStr">
        <is>
          <t>USD</t>
        </is>
      </c>
      <c r="F104" s="4" t="n">
        <v>908</v>
      </c>
      <c r="G104" s="3" t="inlineStr">
        <is>
          <t>USD</t>
        </is>
      </c>
      <c r="H104" s="4" t="n">
        <v>908</v>
      </c>
      <c r="I104" s="5" t="inlineStr">
        <is>
          <t>18890009850 07232C00580940001-18890009850 SB99991889</t>
        </is>
      </c>
      <c r="J104" s="3">
        <f>IF(C104="","",TODAY()-C104)</f>
        <v/>
      </c>
    </row>
    <row r="105">
      <c r="A105" s="5" t="inlineStr">
        <is>
          <t>UN0150</t>
        </is>
      </c>
      <c r="B105" s="3" t="inlineStr">
        <is>
          <t>63010502</t>
        </is>
      </c>
      <c r="C105" s="6" t="n">
        <v>44171</v>
      </c>
      <c r="D105" s="3" t="inlineStr">
        <is>
          <t>FZ</t>
        </is>
      </c>
      <c r="E105" s="3" t="inlineStr">
        <is>
          <t>USD</t>
        </is>
      </c>
      <c r="F105" s="4" t="n">
        <v>139.4</v>
      </c>
      <c r="G105" s="3" t="inlineStr">
        <is>
          <t>USD</t>
        </is>
      </c>
      <c r="H105" s="4" t="n">
        <v>139.4</v>
      </c>
      <c r="I105" s="5" t="inlineStr">
        <is>
          <t>18890009851 07232C00580950001-18890009851 SB99991889</t>
        </is>
      </c>
      <c r="J105" s="3">
        <f>IF(C105="","",TODAY()-C105)</f>
        <v/>
      </c>
    </row>
    <row r="106">
      <c r="A106" s="5" t="inlineStr">
        <is>
          <t>UN0150</t>
        </is>
      </c>
      <c r="B106" s="3" t="inlineStr">
        <is>
          <t>63010502</t>
        </is>
      </c>
      <c r="C106" s="6" t="n">
        <v>44171</v>
      </c>
      <c r="D106" s="3" t="inlineStr">
        <is>
          <t>FZ</t>
        </is>
      </c>
      <c r="E106" s="3" t="inlineStr">
        <is>
          <t>USD</t>
        </is>
      </c>
      <c r="F106" s="4" t="n">
        <v>2660.65</v>
      </c>
      <c r="G106" s="3" t="inlineStr">
        <is>
          <t>USD</t>
        </is>
      </c>
      <c r="H106" s="4" t="n">
        <v>2660.65</v>
      </c>
      <c r="I106" s="5" t="inlineStr">
        <is>
          <t>18890009854 07232C00581570001-18890009854 SB99991889</t>
        </is>
      </c>
      <c r="J106" s="3">
        <f>IF(C106="","",TODAY()-C106)</f>
        <v/>
      </c>
    </row>
    <row r="107">
      <c r="A107" s="5" t="inlineStr">
        <is>
          <t>UN0150</t>
        </is>
      </c>
      <c r="B107" s="3" t="inlineStr">
        <is>
          <t>63010502</t>
        </is>
      </c>
      <c r="C107" s="6" t="n">
        <v>44171</v>
      </c>
      <c r="D107" s="3" t="inlineStr">
        <is>
          <t>FZ</t>
        </is>
      </c>
      <c r="E107" s="3" t="inlineStr">
        <is>
          <t>USD</t>
        </is>
      </c>
      <c r="F107" s="4" t="n">
        <v>199</v>
      </c>
      <c r="G107" s="3" t="inlineStr">
        <is>
          <t>USD</t>
        </is>
      </c>
      <c r="H107" s="4" t="n">
        <v>199</v>
      </c>
      <c r="I107" s="5" t="inlineStr">
        <is>
          <t>18890009855 07232C00581580001-18890009855 SB99991889</t>
        </is>
      </c>
      <c r="J107" s="3">
        <f>IF(C107="","",TODAY()-C107)</f>
        <v/>
      </c>
    </row>
    <row r="108">
      <c r="A108" s="5" t="inlineStr">
        <is>
          <t>UN0150</t>
        </is>
      </c>
      <c r="B108" s="3" t="inlineStr">
        <is>
          <t>63010502</t>
        </is>
      </c>
      <c r="C108" s="6" t="n">
        <v>44171</v>
      </c>
      <c r="D108" s="3" t="inlineStr">
        <is>
          <t>FZ</t>
        </is>
      </c>
      <c r="E108" s="3" t="inlineStr">
        <is>
          <t>USD</t>
        </is>
      </c>
      <c r="F108" s="4" t="n">
        <v>5039.11</v>
      </c>
      <c r="G108" s="3" t="inlineStr">
        <is>
          <t>USD</t>
        </is>
      </c>
      <c r="H108" s="4" t="n">
        <v>5039.11</v>
      </c>
      <c r="I108" s="5" t="inlineStr">
        <is>
          <t>18890009856 07232C00581810001-18890009856 SB99991889</t>
        </is>
      </c>
      <c r="J108" s="3">
        <f>IF(C108="","",TODAY()-C108)</f>
        <v/>
      </c>
    </row>
    <row r="109">
      <c r="A109" s="5" t="inlineStr">
        <is>
          <t>UN0150</t>
        </is>
      </c>
      <c r="B109" s="3" t="inlineStr">
        <is>
          <t>63010502</t>
        </is>
      </c>
      <c r="C109" s="6" t="n">
        <v>44171</v>
      </c>
      <c r="D109" s="3" t="inlineStr">
        <is>
          <t>FZ</t>
        </is>
      </c>
      <c r="E109" s="3" t="inlineStr">
        <is>
          <t>USD</t>
        </is>
      </c>
      <c r="F109" s="4" t="n">
        <v>634.4299999999999</v>
      </c>
      <c r="G109" s="3" t="inlineStr">
        <is>
          <t>USD</t>
        </is>
      </c>
      <c r="H109" s="4" t="n">
        <v>634.4299999999999</v>
      </c>
      <c r="I109" s="5" t="inlineStr">
        <is>
          <t>828891 07232C005808188901-21889000321 LK5BT1889619EU0</t>
        </is>
      </c>
      <c r="J109" s="3">
        <f>IF(C109="","",TODAY()-C109)</f>
        <v/>
      </c>
    </row>
    <row r="110">
      <c r="A110" s="5" t="inlineStr">
        <is>
          <t>UN0150</t>
        </is>
      </c>
      <c r="B110" s="3" t="inlineStr">
        <is>
          <t>63010502</t>
        </is>
      </c>
      <c r="C110" s="6" t="n">
        <v>44171</v>
      </c>
      <c r="D110" s="3" t="inlineStr">
        <is>
          <t>FZ</t>
        </is>
      </c>
      <c r="E110" s="3" t="inlineStr">
        <is>
          <t>USD</t>
        </is>
      </c>
      <c r="F110" s="4" t="n">
        <v>127.4</v>
      </c>
      <c r="G110" s="3" t="inlineStr">
        <is>
          <t>USD</t>
        </is>
      </c>
      <c r="H110" s="4" t="n">
        <v>127.4</v>
      </c>
      <c r="I110" s="5" t="inlineStr">
        <is>
          <t>18890009858 07232C00581960001-18890009858 SB99991889</t>
        </is>
      </c>
      <c r="J110" s="3">
        <f>IF(C110="","",TODAY()-C110)</f>
        <v/>
      </c>
    </row>
    <row r="111">
      <c r="A111" s="5" t="inlineStr">
        <is>
          <t>UN0150</t>
        </is>
      </c>
      <c r="B111" s="3" t="inlineStr">
        <is>
          <t>63010502</t>
        </is>
      </c>
      <c r="C111" s="6" t="n">
        <v>44171</v>
      </c>
      <c r="D111" s="3" t="inlineStr">
        <is>
          <t>FZ</t>
        </is>
      </c>
      <c r="E111" s="3" t="inlineStr">
        <is>
          <t>USD</t>
        </is>
      </c>
      <c r="F111" s="4" t="n">
        <v>270</v>
      </c>
      <c r="G111" s="3" t="inlineStr">
        <is>
          <t>USD</t>
        </is>
      </c>
      <c r="H111" s="4" t="n">
        <v>270</v>
      </c>
      <c r="I111" s="5" t="inlineStr">
        <is>
          <t>18890009859 07232C00582010001-18890009859 SB99991889</t>
        </is>
      </c>
      <c r="J111" s="3">
        <f>IF(C111="","",TODAY()-C111)</f>
        <v/>
      </c>
    </row>
    <row r="112">
      <c r="A112" s="5" t="inlineStr">
        <is>
          <t>UN0150</t>
        </is>
      </c>
      <c r="B112" s="3" t="inlineStr">
        <is>
          <t>63010502</t>
        </is>
      </c>
      <c r="C112" s="6" t="n">
        <v>44171</v>
      </c>
      <c r="D112" s="3" t="inlineStr">
        <is>
          <t>FZ</t>
        </is>
      </c>
      <c r="E112" s="3" t="inlineStr">
        <is>
          <t>USD</t>
        </is>
      </c>
      <c r="F112" s="4" t="n">
        <v>5909.76</v>
      </c>
      <c r="G112" s="3" t="inlineStr">
        <is>
          <t>USD</t>
        </is>
      </c>
      <c r="H112" s="4" t="n">
        <v>5909.76</v>
      </c>
      <c r="I112" s="5" t="inlineStr">
        <is>
          <t>18890009860 07232C00582050001-18890009860 SB99991889</t>
        </is>
      </c>
      <c r="J112" s="3">
        <f>IF(C112="","",TODAY()-C112)</f>
        <v/>
      </c>
    </row>
    <row r="113">
      <c r="A113" s="5" t="inlineStr">
        <is>
          <t>UN0150</t>
        </is>
      </c>
      <c r="B113" s="3" t="inlineStr">
        <is>
          <t>63010502</t>
        </is>
      </c>
      <c r="C113" s="6" t="n">
        <v>44171</v>
      </c>
      <c r="D113" s="3" t="inlineStr">
        <is>
          <t>FZ</t>
        </is>
      </c>
      <c r="E113" s="3" t="inlineStr">
        <is>
          <t>USD</t>
        </is>
      </c>
      <c r="F113" s="4" t="n">
        <v>17.55</v>
      </c>
      <c r="G113" s="3" t="inlineStr">
        <is>
          <t>USD</t>
        </is>
      </c>
      <c r="H113" s="4" t="n">
        <v>17.55</v>
      </c>
      <c r="I113" s="5" t="inlineStr">
        <is>
          <t>18890009861 07232C005821188901-18890009861 SB99991889</t>
        </is>
      </c>
      <c r="J113" s="3">
        <f>IF(C113="","",TODAY()-C113)</f>
        <v/>
      </c>
    </row>
    <row r="114">
      <c r="A114" s="5" t="inlineStr">
        <is>
          <t>UN0150</t>
        </is>
      </c>
      <c r="B114" s="3" t="inlineStr">
        <is>
          <t>63010502</t>
        </is>
      </c>
      <c r="C114" s="6" t="n">
        <v>44171</v>
      </c>
      <c r="D114" s="3" t="inlineStr">
        <is>
          <t>FZ</t>
        </is>
      </c>
      <c r="E114" s="3" t="inlineStr">
        <is>
          <t>USD</t>
        </is>
      </c>
      <c r="F114" s="4" t="n">
        <v>478.63</v>
      </c>
      <c r="G114" s="3" t="inlineStr">
        <is>
          <t>USD</t>
        </is>
      </c>
      <c r="H114" s="4" t="n">
        <v>478.63</v>
      </c>
      <c r="I114" s="5" t="inlineStr">
        <is>
          <t>18890009862 07232C00582110001-18890009862 SB99991889</t>
        </is>
      </c>
      <c r="J114" s="3">
        <f>IF(C114="","",TODAY()-C114)</f>
        <v/>
      </c>
    </row>
    <row r="115">
      <c r="A115" s="5" t="inlineStr">
        <is>
          <t>UN0150</t>
        </is>
      </c>
      <c r="B115" s="3" t="inlineStr">
        <is>
          <t>63010502</t>
        </is>
      </c>
      <c r="C115" s="6" t="n">
        <v>44171</v>
      </c>
      <c r="D115" s="3" t="inlineStr">
        <is>
          <t>FZ</t>
        </is>
      </c>
      <c r="E115" s="3" t="inlineStr">
        <is>
          <t>USD</t>
        </is>
      </c>
      <c r="F115" s="4" t="n">
        <v>31094.17</v>
      </c>
      <c r="G115" s="3" t="inlineStr">
        <is>
          <t>USD</t>
        </is>
      </c>
      <c r="H115" s="4" t="n">
        <v>31094.17</v>
      </c>
      <c r="I115" s="5" t="inlineStr">
        <is>
          <t>18890009865 07232C005822188901-18890009865 SB99991889</t>
        </is>
      </c>
      <c r="J115" s="3">
        <f>IF(C115="","",TODAY()-C115)</f>
        <v/>
      </c>
    </row>
    <row r="116">
      <c r="A116" s="5" t="inlineStr">
        <is>
          <t>UN0100</t>
        </is>
      </c>
      <c r="B116" s="3" t="inlineStr">
        <is>
          <t>63010502</t>
        </is>
      </c>
      <c r="C116" s="6" t="n">
        <v>44141</v>
      </c>
      <c r="D116" s="3" t="inlineStr">
        <is>
          <t>FZ</t>
        </is>
      </c>
      <c r="E116" s="3" t="inlineStr">
        <is>
          <t>USD</t>
        </is>
      </c>
      <c r="F116" s="4" t="n">
        <v>164.72</v>
      </c>
      <c r="G116" s="3" t="inlineStr">
        <is>
          <t>USD</t>
        </is>
      </c>
      <c r="H116" s="4" t="n">
        <v>164.72</v>
      </c>
      <c r="I116" s="5" t="inlineStr">
        <is>
          <t>15R9016-00060 TF715R9016-00060 SETT MULTPLE ENTR</t>
        </is>
      </c>
      <c r="J116" s="3">
        <f>IF(C116="","",TODAY()-C116)</f>
        <v/>
      </c>
    </row>
    <row r="117">
      <c r="A117" s="5" t="inlineStr">
        <is>
          <t>UN0100</t>
        </is>
      </c>
      <c r="B117" s="3" t="inlineStr">
        <is>
          <t>63010502</t>
        </is>
      </c>
      <c r="C117" s="6" t="n">
        <v>44141</v>
      </c>
      <c r="D117" s="3" t="inlineStr">
        <is>
          <t>FZ</t>
        </is>
      </c>
      <c r="E117" s="3" t="inlineStr">
        <is>
          <t>USD</t>
        </is>
      </c>
      <c r="F117" s="4" t="n">
        <v>55.05</v>
      </c>
      <c r="G117" s="3" t="inlineStr">
        <is>
          <t>USD</t>
        </is>
      </c>
      <c r="H117" s="4" t="n">
        <v>55.05</v>
      </c>
      <c r="I117" s="5" t="inlineStr">
        <is>
          <t>15R9016-00063 TF715R9016-00063 SETT MULTPLE ENTR</t>
        </is>
      </c>
      <c r="J117" s="3">
        <f>IF(C117="","",TODAY()-C117)</f>
        <v/>
      </c>
    </row>
    <row r="118">
      <c r="A118" s="5" t="inlineStr">
        <is>
          <t>UN0150</t>
        </is>
      </c>
      <c r="B118" s="3" t="inlineStr">
        <is>
          <t>63010502</t>
        </is>
      </c>
      <c r="C118" s="6" t="n">
        <v>44171</v>
      </c>
      <c r="D118" s="3" t="inlineStr">
        <is>
          <t>FZ</t>
        </is>
      </c>
      <c r="E118" s="3" t="inlineStr">
        <is>
          <t>USD</t>
        </is>
      </c>
      <c r="F118" s="4" t="n">
        <v>794.6</v>
      </c>
      <c r="G118" s="3" t="inlineStr">
        <is>
          <t>USD</t>
        </is>
      </c>
      <c r="H118" s="4" t="n">
        <v>794.6</v>
      </c>
      <c r="I118" s="5" t="inlineStr">
        <is>
          <t>18890009867 07232C00582700001-18890009867 SB99991889</t>
        </is>
      </c>
      <c r="J118" s="3">
        <f>IF(C118="","",TODAY()-C118)</f>
        <v/>
      </c>
    </row>
    <row r="119">
      <c r="A119" s="5" t="inlineStr">
        <is>
          <t>UN0150</t>
        </is>
      </c>
      <c r="B119" s="3" t="inlineStr">
        <is>
          <t>63010502</t>
        </is>
      </c>
      <c r="C119" s="6" t="n">
        <v>44171</v>
      </c>
      <c r="D119" s="3" t="inlineStr">
        <is>
          <t>FZ</t>
        </is>
      </c>
      <c r="E119" s="3" t="inlineStr">
        <is>
          <t>USD</t>
        </is>
      </c>
      <c r="F119" s="4" t="n">
        <v>495.72</v>
      </c>
      <c r="G119" s="3" t="inlineStr">
        <is>
          <t>USD</t>
        </is>
      </c>
      <c r="H119" s="4" t="n">
        <v>495.72</v>
      </c>
      <c r="I119" s="5" t="inlineStr">
        <is>
          <t>18890009868 07232C00582740001-18890009868 SB99991889</t>
        </is>
      </c>
      <c r="J119" s="3">
        <f>IF(C119="","",TODAY()-C119)</f>
        <v/>
      </c>
    </row>
    <row r="120">
      <c r="A120" s="5" t="inlineStr">
        <is>
          <t>UN0150</t>
        </is>
      </c>
      <c r="B120" s="3" t="inlineStr">
        <is>
          <t>63010502</t>
        </is>
      </c>
      <c r="C120" s="6" t="n">
        <v>44171</v>
      </c>
      <c r="D120" s="3" t="inlineStr">
        <is>
          <t>FZ</t>
        </is>
      </c>
      <c r="E120" s="3" t="inlineStr">
        <is>
          <t>USD</t>
        </is>
      </c>
      <c r="F120" s="4" t="n">
        <v>21.17</v>
      </c>
      <c r="G120" s="3" t="inlineStr">
        <is>
          <t>USD</t>
        </is>
      </c>
      <c r="H120" s="4" t="n">
        <v>21.17</v>
      </c>
      <c r="I120" s="5" t="inlineStr">
        <is>
          <t>18890009874 07232C00582950001-18890009874 SB99991889</t>
        </is>
      </c>
      <c r="J120" s="3">
        <f>IF(C120="","",TODAY()-C120)</f>
        <v/>
      </c>
    </row>
    <row r="121">
      <c r="A121" s="5" t="inlineStr">
        <is>
          <t>UN0150</t>
        </is>
      </c>
      <c r="B121" s="3" t="inlineStr">
        <is>
          <t>63010502</t>
        </is>
      </c>
      <c r="C121" s="6" t="n">
        <v>44171</v>
      </c>
      <c r="D121" s="3" t="inlineStr">
        <is>
          <t>FZ</t>
        </is>
      </c>
      <c r="E121" s="3" t="inlineStr">
        <is>
          <t>USD</t>
        </is>
      </c>
      <c r="F121" s="4" t="n">
        <v>770.28</v>
      </c>
      <c r="G121" s="3" t="inlineStr">
        <is>
          <t>USD</t>
        </is>
      </c>
      <c r="H121" s="4" t="n">
        <v>770.28</v>
      </c>
      <c r="I121" s="5" t="inlineStr">
        <is>
          <t>18890009875 07232C00583350001-18890009875 SB99991889</t>
        </is>
      </c>
      <c r="J121" s="3">
        <f>IF(C121="","",TODAY()-C121)</f>
        <v/>
      </c>
    </row>
    <row r="122">
      <c r="A122" s="5" t="inlineStr">
        <is>
          <t>UN0150</t>
        </is>
      </c>
      <c r="B122" s="3" t="inlineStr">
        <is>
          <t>63010502</t>
        </is>
      </c>
      <c r="C122" s="6" t="n">
        <v>44171</v>
      </c>
      <c r="D122" s="3" t="inlineStr">
        <is>
          <t>FZ</t>
        </is>
      </c>
      <c r="E122" s="3" t="inlineStr">
        <is>
          <t>USD</t>
        </is>
      </c>
      <c r="F122" s="4" t="n">
        <v>776.28</v>
      </c>
      <c r="G122" s="3" t="inlineStr">
        <is>
          <t>USD</t>
        </is>
      </c>
      <c r="H122" s="4" t="n">
        <v>776.28</v>
      </c>
      <c r="I122" s="5" t="inlineStr">
        <is>
          <t>18890009877 07232C00583310001-18890009877 SB99991889</t>
        </is>
      </c>
      <c r="J122" s="3">
        <f>IF(C122="","",TODAY()-C122)</f>
        <v/>
      </c>
    </row>
    <row r="123">
      <c r="A123" s="5" t="inlineStr">
        <is>
          <t>UN0150</t>
        </is>
      </c>
      <c r="B123" s="3" t="inlineStr">
        <is>
          <t>63010502</t>
        </is>
      </c>
      <c r="C123" s="6" t="n">
        <v>44171</v>
      </c>
      <c r="D123" s="3" t="inlineStr">
        <is>
          <t>FZ</t>
        </is>
      </c>
      <c r="E123" s="3" t="inlineStr">
        <is>
          <t>USD</t>
        </is>
      </c>
      <c r="F123" s="4" t="n">
        <v>369.4</v>
      </c>
      <c r="G123" s="3" t="inlineStr">
        <is>
          <t>USD</t>
        </is>
      </c>
      <c r="H123" s="4" t="n">
        <v>369.4</v>
      </c>
      <c r="I123" s="5" t="inlineStr">
        <is>
          <t>18890009880 07232C00583570001-18890009880 SB99991889</t>
        </is>
      </c>
      <c r="J123" s="3">
        <f>IF(C123="","",TODAY()-C123)</f>
        <v/>
      </c>
    </row>
    <row r="124">
      <c r="A124" s="5" t="inlineStr">
        <is>
          <t>UN0150</t>
        </is>
      </c>
      <c r="B124" s="3" t="inlineStr">
        <is>
          <t>63010502</t>
        </is>
      </c>
      <c r="C124" s="6" t="n">
        <v>44171</v>
      </c>
      <c r="D124" s="3" t="inlineStr">
        <is>
          <t>FZ</t>
        </is>
      </c>
      <c r="E124" s="3" t="inlineStr">
        <is>
          <t>USD</t>
        </is>
      </c>
      <c r="F124" s="4" t="n">
        <v>289.95</v>
      </c>
      <c r="G124" s="3" t="inlineStr">
        <is>
          <t>USD</t>
        </is>
      </c>
      <c r="H124" s="4" t="n">
        <v>289.95</v>
      </c>
      <c r="I124" s="5" t="n">
        <v/>
      </c>
      <c r="J124" s="3">
        <f>IF(C124="","",TODAY()-C124)</f>
        <v/>
      </c>
    </row>
    <row r="125">
      <c r="A125" s="5" t="inlineStr">
        <is>
          <t>UN0100</t>
        </is>
      </c>
      <c r="B125" s="3" t="inlineStr">
        <is>
          <t>63010502</t>
        </is>
      </c>
      <c r="C125" s="6" t="n">
        <v>44141</v>
      </c>
      <c r="D125" s="3" t="inlineStr">
        <is>
          <t>FZ</t>
        </is>
      </c>
      <c r="E125" s="3" t="inlineStr">
        <is>
          <t>USD</t>
        </is>
      </c>
      <c r="F125" s="4" t="n">
        <v>1594.16</v>
      </c>
      <c r="G125" s="3" t="inlineStr">
        <is>
          <t>USD</t>
        </is>
      </c>
      <c r="H125" s="4" t="n">
        <v>1594.16</v>
      </c>
      <c r="I125" s="5" t="inlineStr">
        <is>
          <t>18890000592 07232C00583680001-18890000592 SB99991889</t>
        </is>
      </c>
      <c r="J125" s="3">
        <f>IF(C125="","",TODAY()-C125)</f>
        <v/>
      </c>
    </row>
    <row r="126">
      <c r="A126" s="5" t="inlineStr">
        <is>
          <t>UN0150</t>
        </is>
      </c>
      <c r="B126" s="3" t="inlineStr">
        <is>
          <t>63010502</t>
        </is>
      </c>
      <c r="C126" s="6" t="n">
        <v>44171</v>
      </c>
      <c r="D126" s="3" t="inlineStr">
        <is>
          <t>FZ</t>
        </is>
      </c>
      <c r="E126" s="3" t="inlineStr">
        <is>
          <t>USD</t>
        </is>
      </c>
      <c r="F126" s="4" t="n">
        <v>140</v>
      </c>
      <c r="G126" s="3" t="inlineStr">
        <is>
          <t>USD</t>
        </is>
      </c>
      <c r="H126" s="4" t="n">
        <v>140</v>
      </c>
      <c r="I126" s="5" t="n">
        <v/>
      </c>
      <c r="J126" s="3">
        <f>IF(C126="","",TODAY()-C126)</f>
        <v/>
      </c>
    </row>
    <row r="127">
      <c r="A127" s="5" t="inlineStr">
        <is>
          <t>UN0100</t>
        </is>
      </c>
      <c r="B127" s="3" t="inlineStr">
        <is>
          <t>63010502</t>
        </is>
      </c>
      <c r="C127" s="6" t="n">
        <v>44141</v>
      </c>
      <c r="D127" s="3" t="inlineStr">
        <is>
          <t>FZ</t>
        </is>
      </c>
      <c r="E127" s="3" t="inlineStr">
        <is>
          <t>USD</t>
        </is>
      </c>
      <c r="F127" s="4" t="n">
        <v>400000</v>
      </c>
      <c r="G127" s="3" t="inlineStr">
        <is>
          <t>USD</t>
        </is>
      </c>
      <c r="H127" s="4" t="n">
        <v>400000</v>
      </c>
      <c r="I127" s="5" t="inlineStr">
        <is>
          <t>EUTG20FT0057 07232C00583780001-EUTG20FT0057 LK5BT20</t>
        </is>
      </c>
      <c r="J127" s="3">
        <f>IF(C127="","",TODAY()-C127)</f>
        <v/>
      </c>
    </row>
    <row r="128">
      <c r="A128" s="5" t="inlineStr">
        <is>
          <t>UN0100</t>
        </is>
      </c>
      <c r="B128" s="3" t="inlineStr">
        <is>
          <t>63010502</t>
        </is>
      </c>
      <c r="C128" s="6" t="n">
        <v>44141</v>
      </c>
      <c r="D128" s="3" t="inlineStr">
        <is>
          <t>FZ</t>
        </is>
      </c>
      <c r="E128" s="3" t="inlineStr">
        <is>
          <t>USD</t>
        </is>
      </c>
      <c r="F128" s="4" t="n">
        <v>8</v>
      </c>
      <c r="G128" s="3" t="inlineStr">
        <is>
          <t>USD</t>
        </is>
      </c>
      <c r="H128" s="4" t="n">
        <v>8</v>
      </c>
      <c r="I128" s="5" t="n">
        <v/>
      </c>
      <c r="J128" s="3">
        <f>IF(C128="","",TODAY()-C128)</f>
        <v/>
      </c>
    </row>
    <row r="129">
      <c r="A129" s="5" t="inlineStr">
        <is>
          <t>UN0100</t>
        </is>
      </c>
      <c r="B129" s="3" t="inlineStr">
        <is>
          <t>63010502</t>
        </is>
      </c>
      <c r="C129" s="6" t="n">
        <v>44141</v>
      </c>
      <c r="D129" s="3" t="inlineStr">
        <is>
          <t>FZ</t>
        </is>
      </c>
      <c r="E129" s="3" t="inlineStr">
        <is>
          <t>USD</t>
        </is>
      </c>
      <c r="F129" s="4" t="n">
        <v>467049.45</v>
      </c>
      <c r="G129" s="3" t="inlineStr">
        <is>
          <t>USD</t>
        </is>
      </c>
      <c r="H129" s="4" t="n">
        <v>467049.45</v>
      </c>
      <c r="I129" s="5" t="inlineStr">
        <is>
          <t>18890000588 07232C00581800001-18890000588 LK5BT18896</t>
        </is>
      </c>
      <c r="J129" s="3">
        <f>IF(C129="","",TODAY()-C129)</f>
        <v/>
      </c>
    </row>
    <row r="130">
      <c r="A130" s="5" t="inlineStr">
        <is>
          <t>UN0150</t>
        </is>
      </c>
      <c r="B130" s="3" t="inlineStr">
        <is>
          <t>63010502</t>
        </is>
      </c>
      <c r="C130" s="6" t="n">
        <v>44171</v>
      </c>
      <c r="D130" s="3" t="inlineStr">
        <is>
          <t>FZ</t>
        </is>
      </c>
      <c r="E130" s="3" t="inlineStr">
        <is>
          <t>USD</t>
        </is>
      </c>
      <c r="F130" s="4" t="n">
        <v>684.42</v>
      </c>
      <c r="G130" s="3" t="inlineStr">
        <is>
          <t>USD</t>
        </is>
      </c>
      <c r="H130" s="4" t="n">
        <v>684.42</v>
      </c>
      <c r="I130" s="5" t="n">
        <v/>
      </c>
      <c r="J130" s="3">
        <f>IF(C130="","",TODAY()-C130)</f>
        <v/>
      </c>
    </row>
    <row r="131">
      <c r="A131" s="5" t="inlineStr">
        <is>
          <t>UN0150</t>
        </is>
      </c>
      <c r="B131" s="3" t="inlineStr">
        <is>
          <t>63010502</t>
        </is>
      </c>
      <c r="C131" s="6" t="n">
        <v>44171</v>
      </c>
      <c r="D131" s="3" t="inlineStr">
        <is>
          <t>FZ</t>
        </is>
      </c>
      <c r="E131" s="3" t="inlineStr">
        <is>
          <t>USD</t>
        </is>
      </c>
      <c r="F131" s="4" t="n">
        <v>262.2</v>
      </c>
      <c r="G131" s="3" t="inlineStr">
        <is>
          <t>USD</t>
        </is>
      </c>
      <c r="H131" s="4" t="n">
        <v>262.2</v>
      </c>
      <c r="I131" s="5" t="n">
        <v/>
      </c>
      <c r="J131" s="3">
        <f>IF(C131="","",TODAY()-C131)</f>
        <v/>
      </c>
    </row>
    <row r="132">
      <c r="A132" s="5" t="inlineStr">
        <is>
          <t>UN0150</t>
        </is>
      </c>
      <c r="B132" s="3" t="inlineStr">
        <is>
          <t>63010502</t>
        </is>
      </c>
      <c r="C132" s="6" t="n">
        <v>44171</v>
      </c>
      <c r="D132" s="3" t="inlineStr">
        <is>
          <t>FZ</t>
        </is>
      </c>
      <c r="E132" s="3" t="inlineStr">
        <is>
          <t>USD</t>
        </is>
      </c>
      <c r="F132" s="4" t="n">
        <v>515.34</v>
      </c>
      <c r="G132" s="3" t="inlineStr">
        <is>
          <t>USD</t>
        </is>
      </c>
      <c r="H132" s="4" t="n">
        <v>515.34</v>
      </c>
      <c r="I132" s="5" t="n">
        <v/>
      </c>
      <c r="J132" s="3">
        <f>IF(C132="","",TODAY()-C132)</f>
        <v/>
      </c>
    </row>
    <row r="133">
      <c r="A133" s="5" t="inlineStr">
        <is>
          <t>UN0150</t>
        </is>
      </c>
      <c r="B133" s="3" t="inlineStr">
        <is>
          <t>63010502</t>
        </is>
      </c>
      <c r="C133" s="6" t="n">
        <v>44171</v>
      </c>
      <c r="D133" s="3" t="inlineStr">
        <is>
          <t>FZ</t>
        </is>
      </c>
      <c r="E133" s="3" t="inlineStr">
        <is>
          <t>USD</t>
        </is>
      </c>
      <c r="F133" s="4" t="n">
        <v>27808.72</v>
      </c>
      <c r="G133" s="3" t="inlineStr">
        <is>
          <t>USD</t>
        </is>
      </c>
      <c r="H133" s="4" t="n">
        <v>27808.72</v>
      </c>
      <c r="I133" s="5" t="n">
        <v/>
      </c>
      <c r="J133" s="3">
        <f>IF(C133="","",TODAY()-C133)</f>
        <v/>
      </c>
    </row>
    <row r="134">
      <c r="A134" s="5" t="inlineStr">
        <is>
          <t>UN0150</t>
        </is>
      </c>
      <c r="B134" s="3" t="inlineStr">
        <is>
          <t>63010502</t>
        </is>
      </c>
      <c r="C134" s="6" t="n">
        <v>44171</v>
      </c>
      <c r="D134" s="3" t="inlineStr">
        <is>
          <t>FZ</t>
        </is>
      </c>
      <c r="E134" s="3" t="inlineStr">
        <is>
          <t>USD</t>
        </is>
      </c>
      <c r="F134" s="4" t="n">
        <v>154.08</v>
      </c>
      <c r="G134" s="3" t="inlineStr">
        <is>
          <t>USD</t>
        </is>
      </c>
      <c r="H134" s="4" t="n">
        <v>154.08</v>
      </c>
      <c r="I134" s="5" t="n">
        <v/>
      </c>
      <c r="J134" s="3">
        <f>IF(C134="","",TODAY()-C134)</f>
        <v/>
      </c>
    </row>
    <row r="135">
      <c r="A135" s="5" t="inlineStr">
        <is>
          <t>UN0150</t>
        </is>
      </c>
      <c r="B135" s="3" t="inlineStr">
        <is>
          <t>63010502</t>
        </is>
      </c>
      <c r="C135" s="6" t="n">
        <v>44171</v>
      </c>
      <c r="D135" s="3" t="inlineStr">
        <is>
          <t>FZ</t>
        </is>
      </c>
      <c r="E135" s="3" t="inlineStr">
        <is>
          <t>USD</t>
        </is>
      </c>
      <c r="F135" s="4" t="n">
        <v>12420</v>
      </c>
      <c r="G135" s="3" t="inlineStr">
        <is>
          <t>USD</t>
        </is>
      </c>
      <c r="H135" s="4" t="n">
        <v>12420</v>
      </c>
      <c r="I135" s="5" t="n">
        <v/>
      </c>
      <c r="J135" s="3">
        <f>IF(C135="","",TODAY()-C135)</f>
        <v/>
      </c>
    </row>
    <row r="136">
      <c r="A136" s="5" t="inlineStr">
        <is>
          <t>UN0150</t>
        </is>
      </c>
      <c r="B136" s="3" t="inlineStr">
        <is>
          <t>63010502</t>
        </is>
      </c>
      <c r="C136" s="6" t="n">
        <v>44171</v>
      </c>
      <c r="D136" s="3" t="inlineStr">
        <is>
          <t>FZ</t>
        </is>
      </c>
      <c r="E136" s="3" t="inlineStr">
        <is>
          <t>USD</t>
        </is>
      </c>
      <c r="F136" s="4" t="n">
        <v>3633.45</v>
      </c>
      <c r="G136" s="3" t="inlineStr">
        <is>
          <t>USD</t>
        </is>
      </c>
      <c r="H136" s="4" t="n">
        <v>3633.45</v>
      </c>
      <c r="I136" s="5" t="n">
        <v/>
      </c>
      <c r="J136" s="3">
        <f>IF(C136="","",TODAY()-C136)</f>
        <v/>
      </c>
    </row>
    <row r="137">
      <c r="A137" s="5" t="inlineStr">
        <is>
          <t>UN0150</t>
        </is>
      </c>
      <c r="B137" s="3" t="inlineStr">
        <is>
          <t>63010502</t>
        </is>
      </c>
      <c r="C137" s="6" t="n">
        <v>44171</v>
      </c>
      <c r="D137" s="3" t="inlineStr">
        <is>
          <t>FZ</t>
        </is>
      </c>
      <c r="E137" s="3" t="inlineStr">
        <is>
          <t>USD</t>
        </is>
      </c>
      <c r="F137" s="4" t="n">
        <v>2450</v>
      </c>
      <c r="G137" s="3" t="inlineStr">
        <is>
          <t>USD</t>
        </is>
      </c>
      <c r="H137" s="4" t="n">
        <v>2450</v>
      </c>
      <c r="I137" s="5" t="inlineStr">
        <is>
          <t>18890009896 07232C00585330001-18890009896 SB99991889</t>
        </is>
      </c>
      <c r="J137" s="3">
        <f>IF(C137="","",TODAY()-C137)</f>
        <v/>
      </c>
    </row>
    <row r="138">
      <c r="A138" s="5" t="inlineStr">
        <is>
          <t>UN0150</t>
        </is>
      </c>
      <c r="B138" s="3" t="inlineStr">
        <is>
          <t>63010502</t>
        </is>
      </c>
      <c r="C138" s="6" t="n">
        <v>44171</v>
      </c>
      <c r="D138" s="3" t="inlineStr">
        <is>
          <t>FZ</t>
        </is>
      </c>
      <c r="E138" s="3" t="inlineStr">
        <is>
          <t>USD</t>
        </is>
      </c>
      <c r="F138" s="4" t="n">
        <v>689.77</v>
      </c>
      <c r="G138" s="3" t="inlineStr">
        <is>
          <t>USD</t>
        </is>
      </c>
      <c r="H138" s="4" t="n">
        <v>689.77</v>
      </c>
      <c r="I138" s="5" t="inlineStr">
        <is>
          <t>18890009898 07232C00585540001-18890009898 SB99991889</t>
        </is>
      </c>
      <c r="J138" s="3">
        <f>IF(C138="","",TODAY()-C138)</f>
        <v/>
      </c>
    </row>
    <row r="139">
      <c r="A139" s="5" t="inlineStr">
        <is>
          <t>UN0150</t>
        </is>
      </c>
      <c r="B139" s="3" t="inlineStr">
        <is>
          <t>63010502</t>
        </is>
      </c>
      <c r="C139" s="6" t="n">
        <v>44171</v>
      </c>
      <c r="D139" s="3" t="inlineStr">
        <is>
          <t>FZ</t>
        </is>
      </c>
      <c r="E139" s="3" t="inlineStr">
        <is>
          <t>USD</t>
        </is>
      </c>
      <c r="F139" s="4" t="n">
        <v>234</v>
      </c>
      <c r="G139" s="3" t="inlineStr">
        <is>
          <t>USD</t>
        </is>
      </c>
      <c r="H139" s="4" t="n">
        <v>234</v>
      </c>
      <c r="I139" s="5" t="inlineStr">
        <is>
          <t>828292 07232C00584450001-21889000323 LK5BT1889626EU0</t>
        </is>
      </c>
      <c r="J139" s="3">
        <f>IF(C139="","",TODAY()-C139)</f>
        <v/>
      </c>
    </row>
    <row r="140">
      <c r="A140" s="5" t="inlineStr">
        <is>
          <t>UN0150</t>
        </is>
      </c>
      <c r="B140" s="3" t="inlineStr">
        <is>
          <t>63010502</t>
        </is>
      </c>
      <c r="C140" s="6" t="n">
        <v>44171</v>
      </c>
      <c r="D140" s="3" t="inlineStr">
        <is>
          <t>FZ</t>
        </is>
      </c>
      <c r="E140" s="3" t="inlineStr">
        <is>
          <t>USD</t>
        </is>
      </c>
      <c r="F140" s="4" t="n">
        <v>807.5</v>
      </c>
      <c r="G140" s="3" t="inlineStr">
        <is>
          <t>USD</t>
        </is>
      </c>
      <c r="H140" s="4" t="n">
        <v>807.5</v>
      </c>
      <c r="I140" s="5" t="inlineStr">
        <is>
          <t>828293 07232C00585300001-21889000389 LK5BT1889626EU0</t>
        </is>
      </c>
      <c r="J140" s="3">
        <f>IF(C140="","",TODAY()-C140)</f>
        <v/>
      </c>
    </row>
    <row r="141">
      <c r="A141" s="5" t="inlineStr">
        <is>
          <t>UN0150</t>
        </is>
      </c>
      <c r="B141" s="3" t="inlineStr">
        <is>
          <t>63010502</t>
        </is>
      </c>
      <c r="C141" s="6" t="n">
        <v>44171</v>
      </c>
      <c r="D141" s="3" t="inlineStr">
        <is>
          <t>FZ</t>
        </is>
      </c>
      <c r="E141" s="3" t="inlineStr">
        <is>
          <t>USD</t>
        </is>
      </c>
      <c r="F141" s="4" t="n">
        <v>687.48</v>
      </c>
      <c r="G141" s="3" t="inlineStr">
        <is>
          <t>USD</t>
        </is>
      </c>
      <c r="H141" s="4" t="n">
        <v>687.48</v>
      </c>
      <c r="I141" s="5" t="inlineStr">
        <is>
          <t>828294 07232C00584390001-21889000322 LK5BT1889626EU0</t>
        </is>
      </c>
      <c r="J141" s="3">
        <f>IF(C141="","",TODAY()-C141)</f>
        <v/>
      </c>
    </row>
    <row r="142">
      <c r="A142" s="5" t="inlineStr">
        <is>
          <t>UN0100</t>
        </is>
      </c>
      <c r="B142" s="3" t="inlineStr">
        <is>
          <t>63010502</t>
        </is>
      </c>
      <c r="C142" s="6" t="n">
        <v>44141</v>
      </c>
      <c r="D142" s="3" t="inlineStr">
        <is>
          <t>FZ</t>
        </is>
      </c>
      <c r="E142" s="3" t="inlineStr">
        <is>
          <t>USD</t>
        </is>
      </c>
      <c r="F142" s="4" t="n">
        <v>1000000</v>
      </c>
      <c r="G142" s="3" t="inlineStr">
        <is>
          <t>USD</t>
        </is>
      </c>
      <c r="H142" s="4" t="n">
        <v>1000000</v>
      </c>
      <c r="I142" s="5" t="inlineStr">
        <is>
          <t>EUTG20FT0060 07232C00583790001-EUTG20FT0060 SB99992</t>
        </is>
      </c>
      <c r="J142" s="3">
        <f>IF(C142="","",TODAY()-C142)</f>
        <v/>
      </c>
    </row>
    <row r="143">
      <c r="A143" s="5" t="inlineStr">
        <is>
          <t>UN0150</t>
        </is>
      </c>
      <c r="B143" s="3" t="inlineStr">
        <is>
          <t>63010502</t>
        </is>
      </c>
      <c r="C143" s="6" t="n">
        <v>44171</v>
      </c>
      <c r="D143" s="3" t="inlineStr">
        <is>
          <t>FZ</t>
        </is>
      </c>
      <c r="E143" s="3" t="inlineStr">
        <is>
          <t>USD</t>
        </is>
      </c>
      <c r="F143" s="4" t="n">
        <v>24703.74</v>
      </c>
      <c r="G143" s="3" t="inlineStr">
        <is>
          <t>USD</t>
        </is>
      </c>
      <c r="H143" s="4" t="n">
        <v>24703.74</v>
      </c>
      <c r="I143" s="5" t="n">
        <v/>
      </c>
      <c r="J143" s="3">
        <f>IF(C143="","",TODAY()-C143)</f>
        <v/>
      </c>
    </row>
    <row r="144">
      <c r="A144" s="5" t="inlineStr">
        <is>
          <t>UN0150</t>
        </is>
      </c>
      <c r="B144" s="3" t="inlineStr">
        <is>
          <t>63010502</t>
        </is>
      </c>
      <c r="C144" s="6" t="n">
        <v>44171</v>
      </c>
      <c r="D144" s="3" t="inlineStr">
        <is>
          <t>FZ</t>
        </is>
      </c>
      <c r="E144" s="3" t="inlineStr">
        <is>
          <t>USD</t>
        </is>
      </c>
      <c r="F144" s="4" t="n">
        <v>34860.44</v>
      </c>
      <c r="G144" s="3" t="inlineStr">
        <is>
          <t>USD</t>
        </is>
      </c>
      <c r="H144" s="4" t="n">
        <v>34860.44</v>
      </c>
      <c r="I144" s="5" t="n">
        <v/>
      </c>
      <c r="J144" s="3">
        <f>IF(C144="","",TODAY()-C144)</f>
        <v/>
      </c>
    </row>
    <row r="145">
      <c r="A145" s="7" t="n"/>
      <c r="B145" s="7" t="n"/>
      <c r="C145" s="7" t="n"/>
      <c r="D145" s="7" t="n"/>
      <c r="E145" s="7" t="n"/>
      <c r="F145" s="8">
        <f>SUM(F4:F144)</f>
        <v/>
      </c>
      <c r="G145" s="7" t="n"/>
      <c r="H145" s="8">
        <f>SUM(H4:H144)</f>
        <v/>
      </c>
      <c r="I145" s="7" t="n"/>
      <c r="J145" s="7" t="n"/>
    </row>
  </sheetData>
  <mergeCells count="1"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6" customWidth="1" min="9" max="9"/>
    <col width="26" customWidth="1" min="10" max="10"/>
  </cols>
  <sheetData>
    <row r="1"/>
    <row r="2">
      <c r="A2" s="1" t="inlineStr">
        <is>
          <t>Account: 63010512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UN0100</t>
        </is>
      </c>
      <c r="B4" s="3" t="inlineStr">
        <is>
          <t>63010512</t>
        </is>
      </c>
      <c r="C4" s="3" t="n">
        <v/>
      </c>
      <c r="D4" s="3" t="inlineStr">
        <is>
          <t>JE</t>
        </is>
      </c>
      <c r="E4" s="3" t="inlineStr">
        <is>
          <t>LKR</t>
        </is>
      </c>
      <c r="F4" s="4" t="n">
        <v>-10000000</v>
      </c>
      <c r="G4" s="3" t="inlineStr">
        <is>
          <t>USD</t>
        </is>
      </c>
      <c r="H4" s="4" t="n">
        <v>-53702.81</v>
      </c>
      <c r="I4" s="5" t="inlineStr">
        <is>
          <t>LK5BT1889618EU0053 17062020SEU1 OPAEU wEUter (DLL) LTD</t>
        </is>
      </c>
      <c r="J4" s="3">
        <f>IF(C4="","",TODAY()-C4)</f>
        <v/>
      </c>
    </row>
    <row r="5">
      <c r="A5" s="7" t="n"/>
      <c r="B5" s="7" t="n"/>
      <c r="C5" s="7" t="n"/>
      <c r="D5" s="7" t="n"/>
      <c r="E5" s="7" t="n"/>
      <c r="F5" s="8">
        <f>SUM(F4:F4)</f>
        <v/>
      </c>
      <c r="G5" s="7" t="n"/>
      <c r="H5" s="8">
        <f>SUM(H4:H4)</f>
        <v/>
      </c>
      <c r="I5" s="7" t="n"/>
      <c r="J5" s="7" t="n"/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5" customWidth="1" min="9" max="9"/>
    <col width="28" customWidth="1" min="10" max="10"/>
  </cols>
  <sheetData>
    <row r="1"/>
    <row r="2">
      <c r="A2" s="1" t="inlineStr">
        <is>
          <t>Account: 63011001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63011001</t>
        </is>
      </c>
      <c r="C4" s="6" t="n">
        <v>44049</v>
      </c>
      <c r="D4" s="3" t="inlineStr">
        <is>
          <t>FZ</t>
        </is>
      </c>
      <c r="E4" s="3" t="inlineStr">
        <is>
          <t>USD</t>
        </is>
      </c>
      <c r="F4" s="4" t="n">
        <v>-2449.97</v>
      </c>
      <c r="G4" s="3" t="inlineStr">
        <is>
          <t>USD</t>
        </is>
      </c>
      <c r="H4" s="4" t="n">
        <v>-2449.97</v>
      </c>
      <c r="I4" s="5" t="inlineStr">
        <is>
          <t>35RS2018896080001 /UNFB/1898781109031898781109 03 B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63011001</t>
        </is>
      </c>
      <c r="C5" s="6" t="n">
        <v>44080</v>
      </c>
      <c r="D5" s="3" t="inlineStr">
        <is>
          <t>FZ</t>
        </is>
      </c>
      <c r="E5" s="3" t="inlineStr">
        <is>
          <t>USD</t>
        </is>
      </c>
      <c r="F5" s="4" t="n">
        <v>-500000</v>
      </c>
      <c r="G5" s="3" t="inlineStr">
        <is>
          <t>USD</t>
        </is>
      </c>
      <c r="H5" s="4" t="n">
        <v>-500000</v>
      </c>
      <c r="I5" s="5" t="inlineStr">
        <is>
          <t>35RS2018896080070 FUND EUBCNSFER T EFFECT PEUY MENTS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63011001</t>
        </is>
      </c>
      <c r="C6" s="6" t="n">
        <v>44080</v>
      </c>
      <c r="D6" s="3" t="inlineStr">
        <is>
          <t>FZ</t>
        </is>
      </c>
      <c r="E6" s="3" t="inlineStr">
        <is>
          <t>USD</t>
        </is>
      </c>
      <c r="F6" s="4" t="n">
        <v>-2102.39</v>
      </c>
      <c r="G6" s="3" t="inlineStr">
        <is>
          <t>USD</t>
        </is>
      </c>
      <c r="H6" s="4" t="n">
        <v>-2102.39</v>
      </c>
      <c r="I6" s="5" t="inlineStr">
        <is>
          <t>STEULE DREUFT004480785PYCHK USD2102.39 20RH2018896090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63011001</t>
        </is>
      </c>
      <c r="C7" s="6" t="n">
        <v>44080</v>
      </c>
      <c r="D7" s="3" t="inlineStr">
        <is>
          <t>FZ</t>
        </is>
      </c>
      <c r="E7" s="3" t="inlineStr">
        <is>
          <t>USD</t>
        </is>
      </c>
      <c r="F7" s="4" t="n">
        <v>-1217.09</v>
      </c>
      <c r="G7" s="3" t="inlineStr">
        <is>
          <t>USD</t>
        </is>
      </c>
      <c r="H7" s="4" t="n">
        <v>-1217.09</v>
      </c>
      <c r="I7" s="5" t="inlineStr">
        <is>
          <t>STEULE DREUFT004481785PYCHK USD1217.09 20RH2018896090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63011001</t>
        </is>
      </c>
      <c r="C8" s="6" t="n">
        <v>44080</v>
      </c>
      <c r="D8" s="3" t="inlineStr">
        <is>
          <t>FZ</t>
        </is>
      </c>
      <c r="E8" s="3" t="inlineStr">
        <is>
          <t>USD</t>
        </is>
      </c>
      <c r="F8" s="4" t="n">
        <v>-628.01</v>
      </c>
      <c r="G8" s="3" t="inlineStr">
        <is>
          <t>USD</t>
        </is>
      </c>
      <c r="H8" s="4" t="n">
        <v>-628.01</v>
      </c>
      <c r="I8" s="5" t="inlineStr">
        <is>
          <t>STEULE DREUFT004482785PYCHK USD628.01 20RH20188960900</t>
        </is>
      </c>
      <c r="J8" s="3">
        <f>IF(C8="","",TODAY()-C8)</f>
        <v/>
      </c>
    </row>
    <row r="9">
      <c r="A9" s="5" t="inlineStr">
        <is>
          <t>XT0150</t>
        </is>
      </c>
      <c r="B9" s="3" t="inlineStr">
        <is>
          <t>63011001</t>
        </is>
      </c>
      <c r="C9" s="6" t="n">
        <v>44171</v>
      </c>
      <c r="D9" s="3" t="inlineStr">
        <is>
          <t>FZ</t>
        </is>
      </c>
      <c r="E9" s="3" t="inlineStr">
        <is>
          <t>USD</t>
        </is>
      </c>
      <c r="F9" s="4" t="n">
        <v>-971.04</v>
      </c>
      <c r="G9" s="3" t="inlineStr">
        <is>
          <t>USD</t>
        </is>
      </c>
      <c r="H9" s="4" t="n">
        <v>-971.04</v>
      </c>
      <c r="I9" s="5" t="inlineStr">
        <is>
          <t>35RS20188961188901 /UNFB/1255098699511255098699 51 B</t>
        </is>
      </c>
      <c r="J9" s="3">
        <f>IF(C9="","",TODAY()-C9)</f>
        <v/>
      </c>
    </row>
    <row r="10">
      <c r="A10" s="5" t="inlineStr">
        <is>
          <t>XT0150</t>
        </is>
      </c>
      <c r="B10" s="3" t="inlineStr">
        <is>
          <t>63011001</t>
        </is>
      </c>
      <c r="C10" s="6" t="n">
        <v>44171</v>
      </c>
      <c r="D10" s="3" t="inlineStr">
        <is>
          <t>DZ</t>
        </is>
      </c>
      <c r="E10" s="3" t="inlineStr">
        <is>
          <t>USD</t>
        </is>
      </c>
      <c r="F10" s="4" t="n">
        <v>971.04</v>
      </c>
      <c r="G10" s="3" t="inlineStr">
        <is>
          <t>USD</t>
        </is>
      </c>
      <c r="H10" s="4" t="n">
        <v>971.04</v>
      </c>
      <c r="I10" s="5" t="inlineStr">
        <is>
          <t>35RS20188961188901 /UNFB/1255098699511255098699 51 B</t>
        </is>
      </c>
      <c r="J10" s="3">
        <f>IF(C10="","",TODAY()-C10)</f>
        <v/>
      </c>
    </row>
    <row r="11">
      <c r="A11" s="5" t="inlineStr">
        <is>
          <t>XT0150</t>
        </is>
      </c>
      <c r="B11" s="3" t="inlineStr">
        <is>
          <t>63011001</t>
        </is>
      </c>
      <c r="C11" s="6" t="n">
        <v>44171</v>
      </c>
      <c r="D11" s="3" t="inlineStr">
        <is>
          <t>FZ</t>
        </is>
      </c>
      <c r="E11" s="3" t="inlineStr">
        <is>
          <t>USD</t>
        </is>
      </c>
      <c r="F11" s="4" t="n">
        <v>-706.5599999999999</v>
      </c>
      <c r="G11" s="3" t="inlineStr">
        <is>
          <t>USD</t>
        </is>
      </c>
      <c r="H11" s="4" t="n">
        <v>-706.5599999999999</v>
      </c>
      <c r="I11" s="5" t="inlineStr">
        <is>
          <t>35RS2018896190003 /UNFB/1258465918291258465918 29 B</t>
        </is>
      </c>
      <c r="J11" s="3">
        <f>IF(C11="","",TODAY()-C11)</f>
        <v/>
      </c>
    </row>
    <row r="12">
      <c r="A12" s="5" t="inlineStr">
        <is>
          <t>XT0150</t>
        </is>
      </c>
      <c r="B12" s="3" t="inlineStr">
        <is>
          <t>63011001</t>
        </is>
      </c>
      <c r="C12" s="6" t="n">
        <v>44171</v>
      </c>
      <c r="D12" s="3" t="inlineStr">
        <is>
          <t>DZ</t>
        </is>
      </c>
      <c r="E12" s="3" t="inlineStr">
        <is>
          <t>USD</t>
        </is>
      </c>
      <c r="F12" s="4" t="n">
        <v>706.5599999999999</v>
      </c>
      <c r="G12" s="3" t="inlineStr">
        <is>
          <t>USD</t>
        </is>
      </c>
      <c r="H12" s="4" t="n">
        <v>706.5599999999999</v>
      </c>
      <c r="I12" s="5" t="inlineStr">
        <is>
          <t>35RS2018896190003 /UNFB/1258465918291258465918 29 B</t>
        </is>
      </c>
      <c r="J12" s="3">
        <f>IF(C12="","",TODAY()-C12)</f>
        <v/>
      </c>
    </row>
    <row r="13">
      <c r="A13" s="5" t="inlineStr">
        <is>
          <t>XT0150</t>
        </is>
      </c>
      <c r="B13" s="3" t="inlineStr">
        <is>
          <t>63011001</t>
        </is>
      </c>
      <c r="C13" s="6" t="n">
        <v>44171</v>
      </c>
      <c r="D13" s="3" t="inlineStr">
        <is>
          <t>FZ</t>
        </is>
      </c>
      <c r="E13" s="3" t="inlineStr">
        <is>
          <t>USD</t>
        </is>
      </c>
      <c r="F13" s="4" t="n">
        <v>-500000</v>
      </c>
      <c r="G13" s="3" t="inlineStr">
        <is>
          <t>USD</t>
        </is>
      </c>
      <c r="H13" s="4" t="n">
        <v>-500000</v>
      </c>
      <c r="I13" s="5" t="inlineStr">
        <is>
          <t>35RS2018896250031 FUND EUBCNSFER T EUCCMMDEUT E DB</t>
        </is>
      </c>
      <c r="J13" s="3">
        <f>IF(C13="","",TODAY()-C13)</f>
        <v/>
      </c>
    </row>
    <row r="14">
      <c r="A14" s="7" t="n"/>
      <c r="B14" s="7" t="n"/>
      <c r="C14" s="7" t="n"/>
      <c r="D14" s="7" t="n"/>
      <c r="E14" s="7" t="n"/>
      <c r="F14" s="8">
        <f>SUM(F4:F13)</f>
        <v/>
      </c>
      <c r="G14" s="7" t="n"/>
      <c r="H14" s="8">
        <f>SUM(H4:H13)</f>
        <v/>
      </c>
      <c r="I14" s="7" t="n"/>
      <c r="J14" s="7" t="n"/>
    </row>
  </sheetData>
  <mergeCells count="1"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6" customWidth="1" min="9" max="9"/>
    <col width="28" customWidth="1" min="10" max="10"/>
  </cols>
  <sheetData>
    <row r="1"/>
    <row r="2">
      <c r="A2" s="1" t="inlineStr">
        <is>
          <t>Account: 63011011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63011011</t>
        </is>
      </c>
      <c r="C4" s="6" t="n">
        <v>43867</v>
      </c>
      <c r="D4" s="3" t="inlineStr">
        <is>
          <t>FZ</t>
        </is>
      </c>
      <c r="E4" s="3" t="inlineStr">
        <is>
          <t>LKR</t>
        </is>
      </c>
      <c r="F4" s="4" t="n">
        <v>-8300</v>
      </c>
      <c r="G4" s="3" t="inlineStr">
        <is>
          <t>USD</t>
        </is>
      </c>
      <c r="H4" s="4" t="n">
        <v>-44.57</v>
      </c>
      <c r="I4" s="5" t="inlineStr">
        <is>
          <t>2711T20191127 BC119143202711T20191127 785BZ1191432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63011011</t>
        </is>
      </c>
      <c r="C5" s="6" t="n">
        <v>43927</v>
      </c>
      <c r="D5" s="3" t="inlineStr">
        <is>
          <t>FZ</t>
        </is>
      </c>
      <c r="E5" s="3" t="inlineStr">
        <is>
          <t>LKR</t>
        </is>
      </c>
      <c r="F5" s="4" t="n">
        <v>-92850000</v>
      </c>
      <c r="G5" s="3" t="inlineStr">
        <is>
          <t>USD</t>
        </is>
      </c>
      <c r="H5" s="4" t="n">
        <v>-498630.58</v>
      </c>
      <c r="I5" s="5" t="inlineStr">
        <is>
          <t>35RE2018896040002 35RE2018896040002 USD500000 35RS20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63011011</t>
        </is>
      </c>
      <c r="C6" s="6" t="n">
        <v>43896</v>
      </c>
      <c r="D6" s="3" t="inlineStr">
        <is>
          <t>FZ</t>
        </is>
      </c>
      <c r="E6" s="3" t="inlineStr">
        <is>
          <t>LKR</t>
        </is>
      </c>
      <c r="F6" s="4" t="n">
        <v>-123167</v>
      </c>
      <c r="G6" s="3" t="inlineStr">
        <is>
          <t>USD</t>
        </is>
      </c>
      <c r="H6" s="4" t="n">
        <v>-661.4400000000001</v>
      </c>
      <c r="I6" s="5" t="inlineStr">
        <is>
          <t>B145S201889514 BC118893701B145S201889514 785BZ11889370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63011011</t>
        </is>
      </c>
      <c r="C7" s="6" t="n">
        <v>43836</v>
      </c>
      <c r="D7" s="3" t="inlineStr">
        <is>
          <t>FZ</t>
        </is>
      </c>
      <c r="E7" s="3" t="inlineStr">
        <is>
          <t>LKR</t>
        </is>
      </c>
      <c r="F7" s="4" t="n">
        <v>-50000</v>
      </c>
      <c r="G7" s="3" t="inlineStr">
        <is>
          <t>USD</t>
        </is>
      </c>
      <c r="H7" s="4" t="n">
        <v>-268.51</v>
      </c>
      <c r="I7" s="5" t="inlineStr">
        <is>
          <t>BDYOPA DLL LTD CB00000000002390007056003CL EUM M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63011011</t>
        </is>
      </c>
      <c r="C8" s="6" t="n">
        <v>43836</v>
      </c>
      <c r="D8" s="3" t="inlineStr">
        <is>
          <t>FZ</t>
        </is>
      </c>
      <c r="E8" s="3" t="inlineStr">
        <is>
          <t>LKR</t>
        </is>
      </c>
      <c r="F8" s="4" t="n">
        <v>-50000</v>
      </c>
      <c r="G8" s="3" t="inlineStr">
        <is>
          <t>USD</t>
        </is>
      </c>
      <c r="H8" s="4" t="n">
        <v>-268.51</v>
      </c>
      <c r="I8" s="5" t="inlineStr">
        <is>
          <t>BDYOPA DLL LTD CB00000000002390007056003CL EUM M</t>
        </is>
      </c>
      <c r="J8" s="3">
        <f>IF(C8="","",TODAY()-C8)</f>
        <v/>
      </c>
    </row>
    <row r="9">
      <c r="A9" s="5" t="inlineStr">
        <is>
          <t>XT0150</t>
        </is>
      </c>
      <c r="B9" s="3" t="inlineStr">
        <is>
          <t>63011011</t>
        </is>
      </c>
      <c r="C9" s="6" t="n">
        <v>43836</v>
      </c>
      <c r="D9" s="3" t="inlineStr">
        <is>
          <t>FZ</t>
        </is>
      </c>
      <c r="E9" s="3" t="inlineStr">
        <is>
          <t>LKR</t>
        </is>
      </c>
      <c r="F9" s="4" t="n">
        <v>-50000</v>
      </c>
      <c r="G9" s="3" t="inlineStr">
        <is>
          <t>USD</t>
        </is>
      </c>
      <c r="H9" s="4" t="n">
        <v>-268.51</v>
      </c>
      <c r="I9" s="5" t="inlineStr">
        <is>
          <t>BDYOPA DLL LTD CB00000000002390007056003CL EUM M</t>
        </is>
      </c>
      <c r="J9" s="3">
        <f>IF(C9="","",TODAY()-C9)</f>
        <v/>
      </c>
    </row>
    <row r="10">
      <c r="A10" s="5" t="inlineStr">
        <is>
          <t>XT0150</t>
        </is>
      </c>
      <c r="B10" s="3" t="inlineStr">
        <is>
          <t>63011011</t>
        </is>
      </c>
      <c r="C10" s="6" t="n">
        <v>43836</v>
      </c>
      <c r="D10" s="3" t="inlineStr">
        <is>
          <t>FZ</t>
        </is>
      </c>
      <c r="E10" s="3" t="inlineStr">
        <is>
          <t>LKR</t>
        </is>
      </c>
      <c r="F10" s="4" t="n">
        <v>-50000</v>
      </c>
      <c r="G10" s="3" t="inlineStr">
        <is>
          <t>USD</t>
        </is>
      </c>
      <c r="H10" s="4" t="n">
        <v>-268.51</v>
      </c>
      <c r="I10" s="5" t="inlineStr">
        <is>
          <t>BDYOPA DLL LTD CB00000000002390007056003CL EUM M</t>
        </is>
      </c>
      <c r="J10" s="3">
        <f>IF(C10="","",TODAY()-C10)</f>
        <v/>
      </c>
    </row>
    <row r="11">
      <c r="A11" s="5" t="inlineStr">
        <is>
          <t>XT0150</t>
        </is>
      </c>
      <c r="B11" s="3" t="inlineStr">
        <is>
          <t>63011011</t>
        </is>
      </c>
      <c r="C11" s="6" t="n">
        <v>43867</v>
      </c>
      <c r="D11" s="3" t="inlineStr">
        <is>
          <t>FZ</t>
        </is>
      </c>
      <c r="E11" s="3" t="inlineStr">
        <is>
          <t>LKR</t>
        </is>
      </c>
      <c r="F11" s="4" t="n">
        <v>-50000</v>
      </c>
      <c r="G11" s="3" t="inlineStr">
        <is>
          <t>USD</t>
        </is>
      </c>
      <c r="H11" s="4" t="n">
        <v>-268.51</v>
      </c>
      <c r="I11" s="5" t="inlineStr">
        <is>
          <t>BDYOPA DLL LTD CB00000000002390007056003CL EUM M</t>
        </is>
      </c>
      <c r="J11" s="3">
        <f>IF(C11="","",TODAY()-C11)</f>
        <v/>
      </c>
    </row>
    <row r="12">
      <c r="A12" s="5" t="inlineStr">
        <is>
          <t>XT0150</t>
        </is>
      </c>
      <c r="B12" s="3" t="inlineStr">
        <is>
          <t>63011011</t>
        </is>
      </c>
      <c r="C12" s="6" t="n">
        <v>43867</v>
      </c>
      <c r="D12" s="3" t="inlineStr">
        <is>
          <t>FZ</t>
        </is>
      </c>
      <c r="E12" s="3" t="inlineStr">
        <is>
          <t>LKR</t>
        </is>
      </c>
      <c r="F12" s="4" t="n">
        <v>-50000</v>
      </c>
      <c r="G12" s="3" t="inlineStr">
        <is>
          <t>USD</t>
        </is>
      </c>
      <c r="H12" s="4" t="n">
        <v>-268.51</v>
      </c>
      <c r="I12" s="5" t="inlineStr">
        <is>
          <t>BDYOPA DLL LTD CB00000000002390007056003CL EUM M</t>
        </is>
      </c>
      <c r="J12" s="3">
        <f>IF(C12="","",TODAY()-C12)</f>
        <v/>
      </c>
    </row>
    <row r="13">
      <c r="A13" s="5" t="inlineStr">
        <is>
          <t>XT0150</t>
        </is>
      </c>
      <c r="B13" s="3" t="inlineStr">
        <is>
          <t>63011011</t>
        </is>
      </c>
      <c r="C13" s="6" t="n">
        <v>43867</v>
      </c>
      <c r="D13" s="3" t="inlineStr">
        <is>
          <t>FZ</t>
        </is>
      </c>
      <c r="E13" s="3" t="inlineStr">
        <is>
          <t>LKR</t>
        </is>
      </c>
      <c r="F13" s="4" t="n">
        <v>-50000</v>
      </c>
      <c r="G13" s="3" t="inlineStr">
        <is>
          <t>USD</t>
        </is>
      </c>
      <c r="H13" s="4" t="n">
        <v>-268.51</v>
      </c>
      <c r="I13" s="5" t="inlineStr">
        <is>
          <t>BDYOPA DLL LTD CB00000000002390007056003CL EUM M</t>
        </is>
      </c>
      <c r="J13" s="3">
        <f>IF(C13="","",TODAY()-C13)</f>
        <v/>
      </c>
    </row>
    <row r="14">
      <c r="A14" s="5" t="inlineStr">
        <is>
          <t>XT0150</t>
        </is>
      </c>
      <c r="B14" s="3" t="inlineStr">
        <is>
          <t>63011011</t>
        </is>
      </c>
      <c r="C14" s="6" t="n">
        <v>43867</v>
      </c>
      <c r="D14" s="3" t="inlineStr">
        <is>
          <t>FZ</t>
        </is>
      </c>
      <c r="E14" s="3" t="inlineStr">
        <is>
          <t>LKR</t>
        </is>
      </c>
      <c r="F14" s="4" t="n">
        <v>-50000</v>
      </c>
      <c r="G14" s="3" t="inlineStr">
        <is>
          <t>USD</t>
        </is>
      </c>
      <c r="H14" s="4" t="n">
        <v>-268.51</v>
      </c>
      <c r="I14" s="5" t="inlineStr">
        <is>
          <t>BDYOPA DLL LTD CB00000000002390007056003CL EUM M</t>
        </is>
      </c>
      <c r="J14" s="3">
        <f>IF(C14="","",TODAY()-C14)</f>
        <v/>
      </c>
    </row>
    <row r="15">
      <c r="A15" s="5" t="inlineStr">
        <is>
          <t>XT0150</t>
        </is>
      </c>
      <c r="B15" s="3" t="inlineStr">
        <is>
          <t>63011011</t>
        </is>
      </c>
      <c r="C15" s="6" t="n">
        <v>43867</v>
      </c>
      <c r="D15" s="3" t="inlineStr">
        <is>
          <t>FZ</t>
        </is>
      </c>
      <c r="E15" s="3" t="inlineStr">
        <is>
          <t>LKR</t>
        </is>
      </c>
      <c r="F15" s="4" t="n">
        <v>-50000</v>
      </c>
      <c r="G15" s="3" t="inlineStr">
        <is>
          <t>USD</t>
        </is>
      </c>
      <c r="H15" s="4" t="n">
        <v>-268.51</v>
      </c>
      <c r="I15" s="5" t="inlineStr">
        <is>
          <t>BDYOPA DLL LTD CB00000000002390007056003CL EUM M</t>
        </is>
      </c>
      <c r="J15" s="3">
        <f>IF(C15="","",TODAY()-C15)</f>
        <v/>
      </c>
    </row>
    <row r="16">
      <c r="A16" s="5" t="inlineStr">
        <is>
          <t>XT0150</t>
        </is>
      </c>
      <c r="B16" s="3" t="inlineStr">
        <is>
          <t>63011011</t>
        </is>
      </c>
      <c r="C16" s="6" t="n">
        <v>43867</v>
      </c>
      <c r="D16" s="3" t="inlineStr">
        <is>
          <t>FZ</t>
        </is>
      </c>
      <c r="E16" s="3" t="inlineStr">
        <is>
          <t>LKR</t>
        </is>
      </c>
      <c r="F16" s="4" t="n">
        <v>-50000</v>
      </c>
      <c r="G16" s="3" t="inlineStr">
        <is>
          <t>USD</t>
        </is>
      </c>
      <c r="H16" s="4" t="n">
        <v>-268.51</v>
      </c>
      <c r="I16" s="5" t="inlineStr">
        <is>
          <t>BDYOPA DLL LTD CB00000000002390007056003CL EUM M</t>
        </is>
      </c>
      <c r="J16" s="3">
        <f>IF(C16="","",TODAY()-C16)</f>
        <v/>
      </c>
    </row>
    <row r="17">
      <c r="A17" s="5" t="inlineStr">
        <is>
          <t>XT0150</t>
        </is>
      </c>
      <c r="B17" s="3" t="inlineStr">
        <is>
          <t>63011011</t>
        </is>
      </c>
      <c r="C17" s="6" t="n">
        <v>43836</v>
      </c>
      <c r="D17" s="3" t="inlineStr">
        <is>
          <t>FZ</t>
        </is>
      </c>
      <c r="E17" s="3" t="inlineStr">
        <is>
          <t>LKR</t>
        </is>
      </c>
      <c r="F17" s="4" t="n">
        <v>-50000</v>
      </c>
      <c r="G17" s="3" t="inlineStr">
        <is>
          <t>USD</t>
        </is>
      </c>
      <c r="H17" s="4" t="n">
        <v>-268.51</v>
      </c>
      <c r="I17" s="5" t="inlineStr">
        <is>
          <t>BdyOPA DLL Ltd CB00000036823050007056003CL EUM M</t>
        </is>
      </c>
      <c r="J17" s="3">
        <f>IF(C17="","",TODAY()-C17)</f>
        <v/>
      </c>
    </row>
    <row r="18">
      <c r="A18" s="5" t="inlineStr">
        <is>
          <t>XT0150</t>
        </is>
      </c>
      <c r="B18" s="3" t="inlineStr">
        <is>
          <t>63011011</t>
        </is>
      </c>
      <c r="C18" s="6" t="n">
        <v>43867</v>
      </c>
      <c r="D18" s="3" t="inlineStr">
        <is>
          <t>FZ</t>
        </is>
      </c>
      <c r="E18" s="3" t="inlineStr">
        <is>
          <t>LKR</t>
        </is>
      </c>
      <c r="F18" s="4" t="n">
        <v>-50000</v>
      </c>
      <c r="G18" s="3" t="inlineStr">
        <is>
          <t>USD</t>
        </is>
      </c>
      <c r="H18" s="4" t="n">
        <v>-268.51</v>
      </c>
      <c r="I18" s="5" t="inlineStr">
        <is>
          <t>BdyOPA DLL Ltd CB00000036823050007056003CL EUM M</t>
        </is>
      </c>
      <c r="J18" s="3">
        <f>IF(C18="","",TODAY()-C18)</f>
        <v/>
      </c>
    </row>
    <row r="19">
      <c r="A19" s="5" t="inlineStr">
        <is>
          <t>XT0150</t>
        </is>
      </c>
      <c r="B19" s="3" t="inlineStr">
        <is>
          <t>63011011</t>
        </is>
      </c>
      <c r="C19" s="6" t="n">
        <v>43867</v>
      </c>
      <c r="D19" s="3" t="inlineStr">
        <is>
          <t>FZ</t>
        </is>
      </c>
      <c r="E19" s="3" t="inlineStr">
        <is>
          <t>LKR</t>
        </is>
      </c>
      <c r="F19" s="4" t="n">
        <v>-50000</v>
      </c>
      <c r="G19" s="3" t="inlineStr">
        <is>
          <t>USD</t>
        </is>
      </c>
      <c r="H19" s="4" t="n">
        <v>-268.51</v>
      </c>
      <c r="I19" s="5" t="inlineStr">
        <is>
          <t>BdyOPA DLL Ltd CB00000036823050007056003CL EUM M</t>
        </is>
      </c>
      <c r="J19" s="3">
        <f>IF(C19="","",TODAY()-C19)</f>
        <v/>
      </c>
    </row>
    <row r="20">
      <c r="A20" s="5" t="inlineStr">
        <is>
          <t>XT0150</t>
        </is>
      </c>
      <c r="B20" s="3" t="inlineStr">
        <is>
          <t>63011011</t>
        </is>
      </c>
      <c r="C20" s="6" t="n">
        <v>43867</v>
      </c>
      <c r="D20" s="3" t="inlineStr">
        <is>
          <t>FZ</t>
        </is>
      </c>
      <c r="E20" s="3" t="inlineStr">
        <is>
          <t>LKR</t>
        </is>
      </c>
      <c r="F20" s="4" t="n">
        <v>-50000</v>
      </c>
      <c r="G20" s="3" t="inlineStr">
        <is>
          <t>USD</t>
        </is>
      </c>
      <c r="H20" s="4" t="n">
        <v>-268.51</v>
      </c>
      <c r="I20" s="5" t="inlineStr">
        <is>
          <t>BdyOPA DLL Ltd CB000000368892188907056003CL EUM M</t>
        </is>
      </c>
      <c r="J20" s="3">
        <f>IF(C20="","",TODAY()-C20)</f>
        <v/>
      </c>
    </row>
    <row r="21">
      <c r="A21" s="5" t="inlineStr">
        <is>
          <t>XT0150</t>
        </is>
      </c>
      <c r="B21" s="3" t="inlineStr">
        <is>
          <t>63011011</t>
        </is>
      </c>
      <c r="C21" s="6" t="n">
        <v>43867</v>
      </c>
      <c r="D21" s="3" t="inlineStr">
        <is>
          <t>FZ</t>
        </is>
      </c>
      <c r="E21" s="3" t="inlineStr">
        <is>
          <t>LKR</t>
        </is>
      </c>
      <c r="F21" s="4" t="n">
        <v>-50000</v>
      </c>
      <c r="G21" s="3" t="inlineStr">
        <is>
          <t>USD</t>
        </is>
      </c>
      <c r="H21" s="4" t="n">
        <v>-268.51</v>
      </c>
      <c r="I21" s="5" t="inlineStr">
        <is>
          <t>BdyOPA DLL Ltd CB000000368892188907056003CL EUM M</t>
        </is>
      </c>
      <c r="J21" s="3">
        <f>IF(C21="","",TODAY()-C21)</f>
        <v/>
      </c>
    </row>
    <row r="22">
      <c r="A22" s="5" t="inlineStr">
        <is>
          <t>XT0150</t>
        </is>
      </c>
      <c r="B22" s="3" t="inlineStr">
        <is>
          <t>63011011</t>
        </is>
      </c>
      <c r="C22" s="6" t="n">
        <v>43867</v>
      </c>
      <c r="D22" s="3" t="inlineStr">
        <is>
          <t>FZ</t>
        </is>
      </c>
      <c r="E22" s="3" t="inlineStr">
        <is>
          <t>LKR</t>
        </is>
      </c>
      <c r="F22" s="4" t="n">
        <v>-50000</v>
      </c>
      <c r="G22" s="3" t="inlineStr">
        <is>
          <t>USD</t>
        </is>
      </c>
      <c r="H22" s="4" t="n">
        <v>-268.51</v>
      </c>
      <c r="I22" s="5" t="inlineStr">
        <is>
          <t>BdyOPA DLL Ltd CB000000368892188907056003CL EUM M</t>
        </is>
      </c>
      <c r="J22" s="3">
        <f>IF(C22="","",TODAY()-C22)</f>
        <v/>
      </c>
    </row>
    <row r="23">
      <c r="A23" s="5" t="inlineStr">
        <is>
          <t>XT0150</t>
        </is>
      </c>
      <c r="B23" s="3" t="inlineStr">
        <is>
          <t>63011011</t>
        </is>
      </c>
      <c r="C23" s="6" t="n">
        <v>43867</v>
      </c>
      <c r="D23" s="3" t="inlineStr">
        <is>
          <t>FZ</t>
        </is>
      </c>
      <c r="E23" s="3" t="inlineStr">
        <is>
          <t>LKR</t>
        </is>
      </c>
      <c r="F23" s="4" t="n">
        <v>-50000</v>
      </c>
      <c r="G23" s="3" t="inlineStr">
        <is>
          <t>USD</t>
        </is>
      </c>
      <c r="H23" s="4" t="n">
        <v>-268.51</v>
      </c>
      <c r="I23" s="5" t="inlineStr">
        <is>
          <t>BdyOPA DLL Ltd CB000000368892188907056003CL EUM M</t>
        </is>
      </c>
      <c r="J23" s="3">
        <f>IF(C23="","",TODAY()-C23)</f>
        <v/>
      </c>
    </row>
    <row r="24">
      <c r="A24" s="5" t="inlineStr">
        <is>
          <t>XT0150</t>
        </is>
      </c>
      <c r="B24" s="3" t="inlineStr">
        <is>
          <t>63011011</t>
        </is>
      </c>
      <c r="C24" s="6" t="n">
        <v>44049</v>
      </c>
      <c r="D24" s="3" t="inlineStr">
        <is>
          <t>FZ</t>
        </is>
      </c>
      <c r="E24" s="3" t="inlineStr">
        <is>
          <t>LKR</t>
        </is>
      </c>
      <c r="F24" s="4" t="n">
        <v>-38500</v>
      </c>
      <c r="G24" s="3" t="inlineStr">
        <is>
          <t>USD</t>
        </is>
      </c>
      <c r="H24" s="4" t="n">
        <v>-206.76</v>
      </c>
      <c r="I24" s="5" t="inlineStr">
        <is>
          <t>03220191203 BC1191451503220191203 785BZ1191451</t>
        </is>
      </c>
      <c r="J24" s="3">
        <f>IF(C24="","",TODAY()-C24)</f>
        <v/>
      </c>
    </row>
    <row r="25">
      <c r="A25" s="5" t="inlineStr">
        <is>
          <t>XT0150</t>
        </is>
      </c>
      <c r="B25" s="3" t="inlineStr">
        <is>
          <t>63011011</t>
        </is>
      </c>
      <c r="C25" s="6" t="n">
        <v>44049</v>
      </c>
      <c r="D25" s="3" t="inlineStr">
        <is>
          <t>FZ</t>
        </is>
      </c>
      <c r="E25" s="3" t="inlineStr">
        <is>
          <t>LKR</t>
        </is>
      </c>
      <c r="F25" s="4" t="n">
        <v>-37500</v>
      </c>
      <c r="G25" s="3" t="inlineStr">
        <is>
          <t>USD</t>
        </is>
      </c>
      <c r="H25" s="4" t="n">
        <v>-201.39</v>
      </c>
      <c r="I25" s="5" t="inlineStr">
        <is>
          <t>B291F20191129 BC11914496B291F20191129 785BZ1191449</t>
        </is>
      </c>
      <c r="J25" s="3">
        <f>IF(C25="","",TODAY()-C25)</f>
        <v/>
      </c>
    </row>
    <row r="26">
      <c r="A26" s="5" t="inlineStr">
        <is>
          <t>XT0150</t>
        </is>
      </c>
      <c r="B26" s="3" t="inlineStr">
        <is>
          <t>63011011</t>
        </is>
      </c>
      <c r="C26" s="6" t="n">
        <v>44080</v>
      </c>
      <c r="D26" s="3" t="inlineStr">
        <is>
          <t>FZ</t>
        </is>
      </c>
      <c r="E26" s="3" t="inlineStr">
        <is>
          <t>LKR</t>
        </is>
      </c>
      <c r="F26" s="4" t="n">
        <v>-14082.54</v>
      </c>
      <c r="G26" s="3" t="inlineStr">
        <is>
          <t>USD</t>
        </is>
      </c>
      <c r="H26" s="4" t="n">
        <v>-75.63</v>
      </c>
      <c r="I26" s="5" t="inlineStr">
        <is>
          <t>B412J20191204 BC11914604B412J20191204 785BZ1191460</t>
        </is>
      </c>
      <c r="J26" s="3">
        <f>IF(C26="","",TODAY()-C26)</f>
        <v/>
      </c>
    </row>
    <row r="27">
      <c r="A27" s="5" t="inlineStr">
        <is>
          <t>XT0150</t>
        </is>
      </c>
      <c r="B27" s="3" t="inlineStr">
        <is>
          <t>63011011</t>
        </is>
      </c>
      <c r="C27" s="6" t="n">
        <v>44049</v>
      </c>
      <c r="D27" s="3" t="inlineStr">
        <is>
          <t>FZ</t>
        </is>
      </c>
      <c r="E27" s="3" t="inlineStr">
        <is>
          <t>LKR</t>
        </is>
      </c>
      <c r="F27" s="4" t="n">
        <v>-50000</v>
      </c>
      <c r="G27" s="3" t="inlineStr">
        <is>
          <t>USD</t>
        </is>
      </c>
      <c r="H27" s="4" t="n">
        <v>-268.51</v>
      </c>
      <c r="I27" s="5" t="inlineStr">
        <is>
          <t>BdyOPA DLL Lt CB00000036823050007056003CL EUM JU</t>
        </is>
      </c>
      <c r="J27" s="3">
        <f>IF(C27="","",TODAY()-C27)</f>
        <v/>
      </c>
    </row>
    <row r="28">
      <c r="A28" s="5" t="inlineStr">
        <is>
          <t>XT0150</t>
        </is>
      </c>
      <c r="B28" s="3" t="inlineStr">
        <is>
          <t>63011011</t>
        </is>
      </c>
      <c r="C28" s="6" t="n">
        <v>44049</v>
      </c>
      <c r="D28" s="3" t="inlineStr">
        <is>
          <t>FZ</t>
        </is>
      </c>
      <c r="E28" s="3" t="inlineStr">
        <is>
          <t>LKR</t>
        </is>
      </c>
      <c r="F28" s="4" t="n">
        <v>-50000</v>
      </c>
      <c r="G28" s="3" t="inlineStr">
        <is>
          <t>USD</t>
        </is>
      </c>
      <c r="H28" s="4" t="n">
        <v>-268.51</v>
      </c>
      <c r="I28" s="5" t="n">
        <v/>
      </c>
      <c r="J28" s="3">
        <f>IF(C28="","",TODAY()-C28)</f>
        <v/>
      </c>
    </row>
    <row r="29">
      <c r="A29" s="5" t="inlineStr">
        <is>
          <t>XT0150</t>
        </is>
      </c>
      <c r="B29" s="3" t="inlineStr">
        <is>
          <t>63011011</t>
        </is>
      </c>
      <c r="C29" s="6" t="n">
        <v>44049</v>
      </c>
      <c r="D29" s="3" t="inlineStr">
        <is>
          <t>FZ</t>
        </is>
      </c>
      <c r="E29" s="3" t="inlineStr">
        <is>
          <t>LKR</t>
        </is>
      </c>
      <c r="F29" s="4" t="n">
        <v>-50000</v>
      </c>
      <c r="G29" s="3" t="inlineStr">
        <is>
          <t>USD</t>
        </is>
      </c>
      <c r="H29" s="4" t="n">
        <v>-268.51</v>
      </c>
      <c r="I29" s="5" t="n">
        <v/>
      </c>
      <c r="J29" s="3">
        <f>IF(C29="","",TODAY()-C29)</f>
        <v/>
      </c>
    </row>
    <row r="30">
      <c r="A30" s="5" t="inlineStr">
        <is>
          <t>XT0150</t>
        </is>
      </c>
      <c r="B30" s="3" t="inlineStr">
        <is>
          <t>63011011</t>
        </is>
      </c>
      <c r="C30" s="6" t="n">
        <v>44049</v>
      </c>
      <c r="D30" s="3" t="inlineStr">
        <is>
          <t>FZ</t>
        </is>
      </c>
      <c r="E30" s="3" t="inlineStr">
        <is>
          <t>LKR</t>
        </is>
      </c>
      <c r="F30" s="4" t="n">
        <v>-50000</v>
      </c>
      <c r="G30" s="3" t="inlineStr">
        <is>
          <t>USD</t>
        </is>
      </c>
      <c r="H30" s="4" t="n">
        <v>-268.51</v>
      </c>
      <c r="I30" s="5" t="inlineStr">
        <is>
          <t>BdyOPA DLL Ltd CB00000036823050007056003CL EUM J</t>
        </is>
      </c>
      <c r="J30" s="3">
        <f>IF(C30="","",TODAY()-C30)</f>
        <v/>
      </c>
    </row>
    <row r="31">
      <c r="A31" s="5" t="inlineStr">
        <is>
          <t>XT0150</t>
        </is>
      </c>
      <c r="B31" s="3" t="inlineStr">
        <is>
          <t>63011011</t>
        </is>
      </c>
      <c r="C31" s="6" t="n">
        <v>44049</v>
      </c>
      <c r="D31" s="3" t="inlineStr">
        <is>
          <t>FZ</t>
        </is>
      </c>
      <c r="E31" s="3" t="inlineStr">
        <is>
          <t>LKR</t>
        </is>
      </c>
      <c r="F31" s="4" t="n">
        <v>-50000</v>
      </c>
      <c r="G31" s="3" t="inlineStr">
        <is>
          <t>USD</t>
        </is>
      </c>
      <c r="H31" s="4" t="n">
        <v>-268.51</v>
      </c>
      <c r="I31" s="5" t="inlineStr">
        <is>
          <t>BdyOPA DLL Ltd CB00000036823050007056003CL EUM J</t>
        </is>
      </c>
      <c r="J31" s="3">
        <f>IF(C31="","",TODAY()-C31)</f>
        <v/>
      </c>
    </row>
    <row r="32">
      <c r="A32" s="5" t="inlineStr">
        <is>
          <t>XT0150</t>
        </is>
      </c>
      <c r="B32" s="3" t="inlineStr">
        <is>
          <t>63011011</t>
        </is>
      </c>
      <c r="C32" s="6" t="n">
        <v>44049</v>
      </c>
      <c r="D32" s="3" t="inlineStr">
        <is>
          <t>FZ</t>
        </is>
      </c>
      <c r="E32" s="3" t="inlineStr">
        <is>
          <t>LKR</t>
        </is>
      </c>
      <c r="F32" s="4" t="n">
        <v>-50000</v>
      </c>
      <c r="G32" s="3" t="inlineStr">
        <is>
          <t>USD</t>
        </is>
      </c>
      <c r="H32" s="4" t="n">
        <v>-268.51</v>
      </c>
      <c r="I32" s="5" t="inlineStr">
        <is>
          <t>BdyOPA DLL Ltd CB00000036823050007056003CL EUM J</t>
        </is>
      </c>
      <c r="J32" s="3">
        <f>IF(C32="","",TODAY()-C32)</f>
        <v/>
      </c>
    </row>
    <row r="33">
      <c r="A33" s="5" t="inlineStr">
        <is>
          <t>XT0150</t>
        </is>
      </c>
      <c r="B33" s="3" t="inlineStr">
        <is>
          <t>63011011</t>
        </is>
      </c>
      <c r="C33" s="6" t="n">
        <v>44080</v>
      </c>
      <c r="D33" s="3" t="inlineStr">
        <is>
          <t>FZ</t>
        </is>
      </c>
      <c r="E33" s="3" t="inlineStr">
        <is>
          <t>LKR</t>
        </is>
      </c>
      <c r="F33" s="4" t="n">
        <v>-22440</v>
      </c>
      <c r="G33" s="3" t="inlineStr">
        <is>
          <t>USD</t>
        </is>
      </c>
      <c r="H33" s="4" t="n">
        <v>-120.51</v>
      </c>
      <c r="I33" s="5" t="inlineStr">
        <is>
          <t>CHEQUE 148419 STEULE &amp; CRED TED BEUCK148419 LKR2894</t>
        </is>
      </c>
      <c r="J33" s="3">
        <f>IF(C33="","",TODAY()-C33)</f>
        <v/>
      </c>
    </row>
    <row r="34">
      <c r="A34" s="5" t="inlineStr">
        <is>
          <t>XT0150</t>
        </is>
      </c>
      <c r="B34" s="3" t="inlineStr">
        <is>
          <t>63011011</t>
        </is>
      </c>
      <c r="C34" s="6" t="n">
        <v>44110</v>
      </c>
      <c r="D34" s="3" t="inlineStr">
        <is>
          <t>FZ</t>
        </is>
      </c>
      <c r="E34" s="3" t="inlineStr">
        <is>
          <t>LKR</t>
        </is>
      </c>
      <c r="F34" s="4" t="n">
        <v>-36986000</v>
      </c>
      <c r="G34" s="3" t="inlineStr">
        <is>
          <t>USD</t>
        </is>
      </c>
      <c r="H34" s="4" t="n">
        <v>-198625.21</v>
      </c>
      <c r="I34" s="5" t="inlineStr">
        <is>
          <t>35RE2018896100033 35RE2018896100033 USD1889000 35RS20</t>
        </is>
      </c>
      <c r="J34" s="3">
        <f>IF(C34="","",TODAY()-C34)</f>
        <v/>
      </c>
    </row>
    <row r="35">
      <c r="A35" s="5" t="inlineStr">
        <is>
          <t>XT0150</t>
        </is>
      </c>
      <c r="B35" s="3" t="inlineStr">
        <is>
          <t>63011011</t>
        </is>
      </c>
      <c r="C35" s="6" t="n">
        <v>44171</v>
      </c>
      <c r="D35" s="3" t="inlineStr">
        <is>
          <t>FZ</t>
        </is>
      </c>
      <c r="E35" s="3" t="inlineStr">
        <is>
          <t>LKR</t>
        </is>
      </c>
      <c r="F35" s="4" t="n">
        <v>-50000000</v>
      </c>
      <c r="G35" s="3" t="inlineStr">
        <is>
          <t>USD</t>
        </is>
      </c>
      <c r="H35" s="4" t="n">
        <v>-268514.04</v>
      </c>
      <c r="I35" s="5" t="n">
        <v/>
      </c>
      <c r="J35" s="3">
        <f>IF(C35="","",TODAY()-C35)</f>
        <v/>
      </c>
    </row>
    <row r="36">
      <c r="A36" s="5" t="inlineStr">
        <is>
          <t>XT0150</t>
        </is>
      </c>
      <c r="B36" s="3" t="inlineStr">
        <is>
          <t>63011011</t>
        </is>
      </c>
      <c r="C36" s="6" t="n">
        <v>44171</v>
      </c>
      <c r="D36" s="3" t="inlineStr">
        <is>
          <t>FZ</t>
        </is>
      </c>
      <c r="E36" s="3" t="inlineStr">
        <is>
          <t>LKR</t>
        </is>
      </c>
      <c r="F36" s="4" t="n">
        <v>-50000</v>
      </c>
      <c r="G36" s="3" t="inlineStr">
        <is>
          <t>USD</t>
        </is>
      </c>
      <c r="H36" s="4" t="n">
        <v>-268.51</v>
      </c>
      <c r="I36" s="5" t="inlineStr">
        <is>
          <t>BdyOPA DLL Ltd CB00000036823050007056003CL EUM J</t>
        </is>
      </c>
      <c r="J36" s="3">
        <f>IF(C36="","",TODAY()-C36)</f>
        <v/>
      </c>
    </row>
    <row r="37">
      <c r="A37" s="5" t="inlineStr">
        <is>
          <t>XT0150</t>
        </is>
      </c>
      <c r="B37" s="3" t="inlineStr">
        <is>
          <t>63011011</t>
        </is>
      </c>
      <c r="C37" s="6" t="n">
        <v>44171</v>
      </c>
      <c r="D37" s="3" t="inlineStr">
        <is>
          <t>FZ</t>
        </is>
      </c>
      <c r="E37" s="3" t="inlineStr">
        <is>
          <t>LKR</t>
        </is>
      </c>
      <c r="F37" s="4" t="n">
        <v>-50000</v>
      </c>
      <c r="G37" s="3" t="inlineStr">
        <is>
          <t>USD</t>
        </is>
      </c>
      <c r="H37" s="4" t="n">
        <v>-268.51</v>
      </c>
      <c r="I37" s="5" t="inlineStr">
        <is>
          <t>BdyOPA DLL Ltd CB000000368892188907056003CL EUM J</t>
        </is>
      </c>
      <c r="J37" s="3">
        <f>IF(C37="","",TODAY()-C37)</f>
        <v/>
      </c>
    </row>
    <row r="38">
      <c r="A38" s="5" t="inlineStr">
        <is>
          <t>XT0150</t>
        </is>
      </c>
      <c r="B38" s="3" t="inlineStr">
        <is>
          <t>63011011</t>
        </is>
      </c>
      <c r="C38" s="6" t="n">
        <v>44171</v>
      </c>
      <c r="D38" s="3" t="inlineStr">
        <is>
          <t>FZ</t>
        </is>
      </c>
      <c r="E38" s="3" t="inlineStr">
        <is>
          <t>LKR</t>
        </is>
      </c>
      <c r="F38" s="4" t="n">
        <v>-841849</v>
      </c>
      <c r="G38" s="3" t="inlineStr">
        <is>
          <t>USD</t>
        </is>
      </c>
      <c r="H38" s="4" t="n">
        <v>-4520.97</v>
      </c>
      <c r="I38" s="5" t="inlineStr">
        <is>
          <t>BDYOPA 11 (DLL) LT SLEUR PEUYMENT00071350190 LKR8</t>
        </is>
      </c>
      <c r="J38" s="3">
        <f>IF(C38="","",TODAY()-C38)</f>
        <v/>
      </c>
    </row>
    <row r="39">
      <c r="A39" s="5" t="inlineStr">
        <is>
          <t>XT0150</t>
        </is>
      </c>
      <c r="B39" s="3" t="inlineStr">
        <is>
          <t>63011011</t>
        </is>
      </c>
      <c r="C39" s="6" t="n">
        <v>44171</v>
      </c>
      <c r="D39" s="3" t="inlineStr">
        <is>
          <t>FZ</t>
        </is>
      </c>
      <c r="E39" s="3" t="inlineStr">
        <is>
          <t>LKR</t>
        </is>
      </c>
      <c r="F39" s="4" t="n">
        <v>-50000</v>
      </c>
      <c r="G39" s="3" t="inlineStr">
        <is>
          <t>USD</t>
        </is>
      </c>
      <c r="H39" s="4" t="n">
        <v>-268.51</v>
      </c>
      <c r="I39" s="5" t="n">
        <v/>
      </c>
      <c r="J39" s="3">
        <f>IF(C39="","",TODAY()-C39)</f>
        <v/>
      </c>
    </row>
    <row r="40">
      <c r="A40" s="5" t="inlineStr">
        <is>
          <t>XT0150</t>
        </is>
      </c>
      <c r="B40" s="3" t="inlineStr">
        <is>
          <t>63011011</t>
        </is>
      </c>
      <c r="C40" s="6" t="n">
        <v>44171</v>
      </c>
      <c r="D40" s="3" t="inlineStr">
        <is>
          <t>FZ</t>
        </is>
      </c>
      <c r="E40" s="3" t="inlineStr">
        <is>
          <t>LKR</t>
        </is>
      </c>
      <c r="F40" s="4" t="n">
        <v>-50000</v>
      </c>
      <c r="G40" s="3" t="inlineStr">
        <is>
          <t>USD</t>
        </is>
      </c>
      <c r="H40" s="4" t="n">
        <v>-268.51</v>
      </c>
      <c r="I40" s="5" t="n">
        <v/>
      </c>
      <c r="J40" s="3">
        <f>IF(C40="","",TODAY()-C40)</f>
        <v/>
      </c>
    </row>
    <row r="41">
      <c r="A41" s="5" t="inlineStr">
        <is>
          <t>XT0150</t>
        </is>
      </c>
      <c r="B41" s="3" t="inlineStr">
        <is>
          <t>63011011</t>
        </is>
      </c>
      <c r="C41" s="6" t="n">
        <v>44171</v>
      </c>
      <c r="D41" s="3" t="inlineStr">
        <is>
          <t>FZ</t>
        </is>
      </c>
      <c r="E41" s="3" t="inlineStr">
        <is>
          <t>LKR</t>
        </is>
      </c>
      <c r="F41" s="4" t="n">
        <v>-50000</v>
      </c>
      <c r="G41" s="3" t="inlineStr">
        <is>
          <t>USD</t>
        </is>
      </c>
      <c r="H41" s="4" t="n">
        <v>-268.51</v>
      </c>
      <c r="I41" s="5" t="n">
        <v/>
      </c>
      <c r="J41" s="3">
        <f>IF(C41="","",TODAY()-C41)</f>
        <v/>
      </c>
    </row>
    <row r="42">
      <c r="A42" s="5" t="inlineStr">
        <is>
          <t>XT0150</t>
        </is>
      </c>
      <c r="B42" s="3" t="inlineStr">
        <is>
          <t>63011011</t>
        </is>
      </c>
      <c r="C42" s="6" t="n">
        <v>44171</v>
      </c>
      <c r="D42" s="3" t="inlineStr">
        <is>
          <t>FZ</t>
        </is>
      </c>
      <c r="E42" s="3" t="inlineStr">
        <is>
          <t>LKR</t>
        </is>
      </c>
      <c r="F42" s="4" t="n">
        <v>-50000</v>
      </c>
      <c r="G42" s="3" t="inlineStr">
        <is>
          <t>USD</t>
        </is>
      </c>
      <c r="H42" s="4" t="n">
        <v>-268.51</v>
      </c>
      <c r="I42" s="5" t="n">
        <v/>
      </c>
      <c r="J42" s="3">
        <f>IF(C42="","",TODAY()-C42)</f>
        <v/>
      </c>
    </row>
    <row r="43">
      <c r="A43" s="5" t="inlineStr">
        <is>
          <t>XT0150</t>
        </is>
      </c>
      <c r="B43" s="3" t="inlineStr">
        <is>
          <t>63011011</t>
        </is>
      </c>
      <c r="C43" s="6" t="n">
        <v>44171</v>
      </c>
      <c r="D43" s="3" t="inlineStr">
        <is>
          <t>FZ</t>
        </is>
      </c>
      <c r="E43" s="3" t="inlineStr">
        <is>
          <t>LKR</t>
        </is>
      </c>
      <c r="F43" s="4" t="n">
        <v>-50000</v>
      </c>
      <c r="G43" s="3" t="inlineStr">
        <is>
          <t>USD</t>
        </is>
      </c>
      <c r="H43" s="4" t="n">
        <v>-268.51</v>
      </c>
      <c r="I43" s="5" t="inlineStr">
        <is>
          <t>BDYOPA DLL LTD CB00000000002390007056003CL EUM J</t>
        </is>
      </c>
      <c r="J43" s="3">
        <f>IF(C43="","",TODAY()-C43)</f>
        <v/>
      </c>
    </row>
    <row r="44">
      <c r="A44" s="5" t="inlineStr">
        <is>
          <t>XT0150</t>
        </is>
      </c>
      <c r="B44" s="3" t="inlineStr">
        <is>
          <t>63011011</t>
        </is>
      </c>
      <c r="C44" s="6" t="n">
        <v>44171</v>
      </c>
      <c r="D44" s="3" t="inlineStr">
        <is>
          <t>FZ</t>
        </is>
      </c>
      <c r="E44" s="3" t="inlineStr">
        <is>
          <t>LKR</t>
        </is>
      </c>
      <c r="F44" s="4" t="n">
        <v>-50000</v>
      </c>
      <c r="G44" s="3" t="inlineStr">
        <is>
          <t>USD</t>
        </is>
      </c>
      <c r="H44" s="4" t="n">
        <v>-268.51</v>
      </c>
      <c r="I44" s="5" t="inlineStr">
        <is>
          <t>BDYOPA DLL LTD CB00000000002390007056003CL EUM J</t>
        </is>
      </c>
      <c r="J44" s="3">
        <f>IF(C44="","",TODAY()-C44)</f>
        <v/>
      </c>
    </row>
    <row r="45">
      <c r="A45" s="5" t="inlineStr">
        <is>
          <t>XT0150</t>
        </is>
      </c>
      <c r="B45" s="3" t="inlineStr">
        <is>
          <t>63011011</t>
        </is>
      </c>
      <c r="C45" s="6" t="n">
        <v>44171</v>
      </c>
      <c r="D45" s="3" t="inlineStr">
        <is>
          <t>FZ</t>
        </is>
      </c>
      <c r="E45" s="3" t="inlineStr">
        <is>
          <t>LKR</t>
        </is>
      </c>
      <c r="F45" s="4" t="n">
        <v>-50000</v>
      </c>
      <c r="G45" s="3" t="inlineStr">
        <is>
          <t>USD</t>
        </is>
      </c>
      <c r="H45" s="4" t="n">
        <v>-268.51</v>
      </c>
      <c r="I45" s="5" t="inlineStr">
        <is>
          <t>BDYOPA DLL LTD CB00000000002390007056003CL EUM J</t>
        </is>
      </c>
      <c r="J45" s="3">
        <f>IF(C45="","",TODAY()-C45)</f>
        <v/>
      </c>
    </row>
    <row r="46">
      <c r="A46" s="5" t="inlineStr">
        <is>
          <t>XT0150</t>
        </is>
      </c>
      <c r="B46" s="3" t="inlineStr">
        <is>
          <t>63011011</t>
        </is>
      </c>
      <c r="C46" s="6" t="n">
        <v>44171</v>
      </c>
      <c r="D46" s="3" t="inlineStr">
        <is>
          <t>FZ</t>
        </is>
      </c>
      <c r="E46" s="3" t="inlineStr">
        <is>
          <t>LKR</t>
        </is>
      </c>
      <c r="F46" s="4" t="n">
        <v>-50000</v>
      </c>
      <c r="G46" s="3" t="inlineStr">
        <is>
          <t>USD</t>
        </is>
      </c>
      <c r="H46" s="4" t="n">
        <v>-268.51</v>
      </c>
      <c r="I46" s="5" t="inlineStr">
        <is>
          <t>BDYOPA DLL LTD CB00000000002390007056003CL EUM J</t>
        </is>
      </c>
      <c r="J46" s="3">
        <f>IF(C46="","",TODAY()-C46)</f>
        <v/>
      </c>
    </row>
    <row r="47">
      <c r="A47" s="5" t="inlineStr">
        <is>
          <t>XT0150</t>
        </is>
      </c>
      <c r="B47" s="3" t="inlineStr">
        <is>
          <t>63011011</t>
        </is>
      </c>
      <c r="C47" s="6" t="n">
        <v>44171</v>
      </c>
      <c r="D47" s="3" t="inlineStr">
        <is>
          <t>FZ</t>
        </is>
      </c>
      <c r="E47" s="3" t="inlineStr">
        <is>
          <t>LKR</t>
        </is>
      </c>
      <c r="F47" s="4" t="n">
        <v>-50000</v>
      </c>
      <c r="G47" s="3" t="inlineStr">
        <is>
          <t>USD</t>
        </is>
      </c>
      <c r="H47" s="4" t="n">
        <v>-268.51</v>
      </c>
      <c r="I47" s="5" t="inlineStr">
        <is>
          <t>BDYOPA DLL LTD CB00000000002390007056003CL EUM J</t>
        </is>
      </c>
      <c r="J47" s="3">
        <f>IF(C47="","",TODAY()-C47)</f>
        <v/>
      </c>
    </row>
    <row r="48">
      <c r="A48" s="5" t="inlineStr">
        <is>
          <t>XT0150</t>
        </is>
      </c>
      <c r="B48" s="3" t="inlineStr">
        <is>
          <t>63011011</t>
        </is>
      </c>
      <c r="C48" s="6" t="n">
        <v>44171</v>
      </c>
      <c r="D48" s="3" t="inlineStr">
        <is>
          <t>FZ</t>
        </is>
      </c>
      <c r="E48" s="3" t="inlineStr">
        <is>
          <t>LKR</t>
        </is>
      </c>
      <c r="F48" s="4" t="n">
        <v>-50000</v>
      </c>
      <c r="G48" s="3" t="inlineStr">
        <is>
          <t>USD</t>
        </is>
      </c>
      <c r="H48" s="4" t="n">
        <v>-268.51</v>
      </c>
      <c r="I48" s="5" t="inlineStr">
        <is>
          <t>BDYOPA DLL LTD CB00000000002390007056003CL EUM J</t>
        </is>
      </c>
      <c r="J48" s="3">
        <f>IF(C48="","",TODAY()-C48)</f>
        <v/>
      </c>
    </row>
    <row r="49">
      <c r="A49" s="5" t="inlineStr">
        <is>
          <t>XT0150</t>
        </is>
      </c>
      <c r="B49" s="3" t="inlineStr">
        <is>
          <t>63011011</t>
        </is>
      </c>
      <c r="C49" s="6" t="n">
        <v>44171</v>
      </c>
      <c r="D49" s="3" t="inlineStr">
        <is>
          <t>FZ</t>
        </is>
      </c>
      <c r="E49" s="3" t="inlineStr">
        <is>
          <t>LKR</t>
        </is>
      </c>
      <c r="F49" s="4" t="n">
        <v>-50000</v>
      </c>
      <c r="G49" s="3" t="inlineStr">
        <is>
          <t>USD</t>
        </is>
      </c>
      <c r="H49" s="4" t="n">
        <v>-268.51</v>
      </c>
      <c r="I49" s="5" t="inlineStr">
        <is>
          <t>BdyOPA DLL Ltd CB00000036823050007056003CL EUM J</t>
        </is>
      </c>
      <c r="J49" s="3">
        <f>IF(C49="","",TODAY()-C49)</f>
        <v/>
      </c>
    </row>
    <row r="50">
      <c r="A50" s="5" t="inlineStr">
        <is>
          <t>XT0150</t>
        </is>
      </c>
      <c r="B50" s="3" t="inlineStr">
        <is>
          <t>63011011</t>
        </is>
      </c>
      <c r="C50" s="6" t="n">
        <v>44171</v>
      </c>
      <c r="D50" s="3" t="inlineStr">
        <is>
          <t>FZ</t>
        </is>
      </c>
      <c r="E50" s="3" t="inlineStr">
        <is>
          <t>LKR</t>
        </is>
      </c>
      <c r="F50" s="4" t="n">
        <v>-50000</v>
      </c>
      <c r="G50" s="3" t="inlineStr">
        <is>
          <t>USD</t>
        </is>
      </c>
      <c r="H50" s="4" t="n">
        <v>-268.51</v>
      </c>
      <c r="I50" s="5" t="inlineStr">
        <is>
          <t>BdyOPA DLL Ltd CB00000036823050007056003CL EUM J</t>
        </is>
      </c>
      <c r="J50" s="3">
        <f>IF(C50="","",TODAY()-C50)</f>
        <v/>
      </c>
    </row>
    <row r="51">
      <c r="A51" s="5" t="inlineStr">
        <is>
          <t>XT0150</t>
        </is>
      </c>
      <c r="B51" s="3" t="inlineStr">
        <is>
          <t>63011011</t>
        </is>
      </c>
      <c r="C51" s="6" t="n">
        <v>44171</v>
      </c>
      <c r="D51" s="3" t="inlineStr">
        <is>
          <t>FZ</t>
        </is>
      </c>
      <c r="E51" s="3" t="inlineStr">
        <is>
          <t>LKR</t>
        </is>
      </c>
      <c r="F51" s="4" t="n">
        <v>-223614</v>
      </c>
      <c r="G51" s="3" t="inlineStr">
        <is>
          <t>USD</t>
        </is>
      </c>
      <c r="H51" s="4" t="n">
        <v>-1200.87</v>
      </c>
      <c r="I51" s="5" t="inlineStr">
        <is>
          <t>216010 216010 L0625001001</t>
        </is>
      </c>
      <c r="J51" s="3">
        <f>IF(C51="","",TODAY()-C51)</f>
        <v/>
      </c>
    </row>
    <row r="52">
      <c r="A52" s="5" t="inlineStr">
        <is>
          <t>XT0150</t>
        </is>
      </c>
      <c r="B52" s="3" t="inlineStr">
        <is>
          <t>63011011</t>
        </is>
      </c>
      <c r="C52" s="6" t="n">
        <v>44171</v>
      </c>
      <c r="D52" s="3" t="inlineStr">
        <is>
          <t>FZ</t>
        </is>
      </c>
      <c r="E52" s="3" t="inlineStr">
        <is>
          <t>LKR</t>
        </is>
      </c>
      <c r="F52" s="4" t="n">
        <v>-55950000</v>
      </c>
      <c r="G52" s="3" t="inlineStr">
        <is>
          <t>USD</t>
        </is>
      </c>
      <c r="H52" s="4" t="n">
        <v>-300467.21</v>
      </c>
      <c r="I52" s="5" t="inlineStr">
        <is>
          <t>35RE2018896260002 CNVERSN35RE2018896260002 USD300</t>
        </is>
      </c>
      <c r="J52" s="3">
        <f>IF(C52="","",TODAY()-C52)</f>
        <v/>
      </c>
    </row>
    <row r="53">
      <c r="A53" s="5" t="inlineStr">
        <is>
          <t>XT0150</t>
        </is>
      </c>
      <c r="B53" s="3" t="inlineStr">
        <is>
          <t>63011011</t>
        </is>
      </c>
      <c r="C53" s="6" t="n">
        <v>44171</v>
      </c>
      <c r="D53" s="3" t="inlineStr">
        <is>
          <t>FZ</t>
        </is>
      </c>
      <c r="E53" s="3" t="inlineStr">
        <is>
          <t>LKR</t>
        </is>
      </c>
      <c r="F53" s="4" t="n">
        <v>-50000</v>
      </c>
      <c r="G53" s="3" t="inlineStr">
        <is>
          <t>USD</t>
        </is>
      </c>
      <c r="H53" s="4" t="n">
        <v>-268.51</v>
      </c>
      <c r="I53" s="5" t="inlineStr">
        <is>
          <t>BDYOPA DLL LTD CB00000000002390007056003CL EUM F</t>
        </is>
      </c>
      <c r="J53" s="3">
        <f>IF(C53="","",TODAY()-C53)</f>
        <v/>
      </c>
    </row>
    <row r="54">
      <c r="A54" s="5" t="inlineStr">
        <is>
          <t>XT0150</t>
        </is>
      </c>
      <c r="B54" s="3" t="inlineStr">
        <is>
          <t>63011011</t>
        </is>
      </c>
      <c r="C54" s="6" t="n">
        <v>44171</v>
      </c>
      <c r="D54" s="3" t="inlineStr">
        <is>
          <t>FZ</t>
        </is>
      </c>
      <c r="E54" s="3" t="inlineStr">
        <is>
          <t>LKR</t>
        </is>
      </c>
      <c r="F54" s="4" t="n">
        <v>-50000</v>
      </c>
      <c r="G54" s="3" t="inlineStr">
        <is>
          <t>USD</t>
        </is>
      </c>
      <c r="H54" s="4" t="n">
        <v>-268.51</v>
      </c>
      <c r="I54" s="5" t="n">
        <v/>
      </c>
      <c r="J54" s="3">
        <f>IF(C54="","",TODAY()-C54)</f>
        <v/>
      </c>
    </row>
    <row r="55">
      <c r="A55" s="5" t="inlineStr">
        <is>
          <t>XT0150</t>
        </is>
      </c>
      <c r="B55" s="3" t="inlineStr">
        <is>
          <t>63011011</t>
        </is>
      </c>
      <c r="C55" s="6" t="n">
        <v>44171</v>
      </c>
      <c r="D55" s="3" t="inlineStr">
        <is>
          <t>FZ</t>
        </is>
      </c>
      <c r="E55" s="3" t="inlineStr">
        <is>
          <t>LKR</t>
        </is>
      </c>
      <c r="F55" s="4" t="n">
        <v>-50000</v>
      </c>
      <c r="G55" s="3" t="inlineStr">
        <is>
          <t>USD</t>
        </is>
      </c>
      <c r="H55" s="4" t="n">
        <v>-268.51</v>
      </c>
      <c r="I55" s="5" t="n">
        <v/>
      </c>
      <c r="J55" s="3">
        <f>IF(C55="","",TODAY()-C55)</f>
        <v/>
      </c>
    </row>
    <row r="56">
      <c r="A56" s="5" t="inlineStr">
        <is>
          <t>XT0150</t>
        </is>
      </c>
      <c r="B56" s="3" t="inlineStr">
        <is>
          <t>63011011</t>
        </is>
      </c>
      <c r="C56" s="6" t="n">
        <v>44171</v>
      </c>
      <c r="D56" s="3" t="inlineStr">
        <is>
          <t>FZ</t>
        </is>
      </c>
      <c r="E56" s="3" t="inlineStr">
        <is>
          <t>LKR</t>
        </is>
      </c>
      <c r="F56" s="4" t="n">
        <v>-50000</v>
      </c>
      <c r="G56" s="3" t="inlineStr">
        <is>
          <t>USD</t>
        </is>
      </c>
      <c r="H56" s="4" t="n">
        <v>-268.51</v>
      </c>
      <c r="I56" s="5" t="n">
        <v/>
      </c>
      <c r="J56" s="3">
        <f>IF(C56="","",TODAY()-C56)</f>
        <v/>
      </c>
    </row>
    <row r="57">
      <c r="A57" s="5" t="inlineStr">
        <is>
          <t>XT0150</t>
        </is>
      </c>
      <c r="B57" s="3" t="inlineStr">
        <is>
          <t>63011011</t>
        </is>
      </c>
      <c r="C57" s="6" t="n">
        <v>44171</v>
      </c>
      <c r="D57" s="3" t="inlineStr">
        <is>
          <t>FZ</t>
        </is>
      </c>
      <c r="E57" s="3" t="inlineStr">
        <is>
          <t>LKR</t>
        </is>
      </c>
      <c r="F57" s="4" t="n">
        <v>-50000</v>
      </c>
      <c r="G57" s="3" t="inlineStr">
        <is>
          <t>USD</t>
        </is>
      </c>
      <c r="H57" s="4" t="n">
        <v>-268.51</v>
      </c>
      <c r="I57" s="5" t="n">
        <v/>
      </c>
      <c r="J57" s="3">
        <f>IF(C57="","",TODAY()-C57)</f>
        <v/>
      </c>
    </row>
    <row r="58">
      <c r="A58" s="5" t="inlineStr">
        <is>
          <t>XT0150</t>
        </is>
      </c>
      <c r="B58" s="3" t="inlineStr">
        <is>
          <t>63011011</t>
        </is>
      </c>
      <c r="C58" s="6" t="n">
        <v>44171</v>
      </c>
      <c r="D58" s="3" t="inlineStr">
        <is>
          <t>FZ</t>
        </is>
      </c>
      <c r="E58" s="3" t="inlineStr">
        <is>
          <t>LKR</t>
        </is>
      </c>
      <c r="F58" s="4" t="n">
        <v>-50000</v>
      </c>
      <c r="G58" s="3" t="inlineStr">
        <is>
          <t>USD</t>
        </is>
      </c>
      <c r="H58" s="4" t="n">
        <v>-268.51</v>
      </c>
      <c r="I58" s="5" t="n">
        <v/>
      </c>
      <c r="J58" s="3">
        <f>IF(C58="","",TODAY()-C58)</f>
        <v/>
      </c>
    </row>
    <row r="59">
      <c r="A59" s="5" t="inlineStr">
        <is>
          <t>XT0150</t>
        </is>
      </c>
      <c r="B59" s="3" t="inlineStr">
        <is>
          <t>63011011</t>
        </is>
      </c>
      <c r="C59" s="6" t="n">
        <v>44171</v>
      </c>
      <c r="D59" s="3" t="inlineStr">
        <is>
          <t>FZ</t>
        </is>
      </c>
      <c r="E59" s="3" t="inlineStr">
        <is>
          <t>LKR</t>
        </is>
      </c>
      <c r="F59" s="4" t="n">
        <v>-50000</v>
      </c>
      <c r="G59" s="3" t="inlineStr">
        <is>
          <t>USD</t>
        </is>
      </c>
      <c r="H59" s="4" t="n">
        <v>-268.51</v>
      </c>
      <c r="I59" s="5" t="n">
        <v/>
      </c>
      <c r="J59" s="3">
        <f>IF(C59="","",TODAY()-C59)</f>
        <v/>
      </c>
    </row>
    <row r="60">
      <c r="A60" s="5" t="inlineStr">
        <is>
          <t>XT0150</t>
        </is>
      </c>
      <c r="B60" s="3" t="inlineStr">
        <is>
          <t>63011011</t>
        </is>
      </c>
      <c r="C60" s="6" t="n">
        <v>44171</v>
      </c>
      <c r="D60" s="3" t="inlineStr">
        <is>
          <t>FZ</t>
        </is>
      </c>
      <c r="E60" s="3" t="inlineStr">
        <is>
          <t>LKR</t>
        </is>
      </c>
      <c r="F60" s="4" t="n">
        <v>-50000</v>
      </c>
      <c r="G60" s="3" t="inlineStr">
        <is>
          <t>USD</t>
        </is>
      </c>
      <c r="H60" s="4" t="n">
        <v>-268.51</v>
      </c>
      <c r="I60" s="5" t="n">
        <v/>
      </c>
      <c r="J60" s="3">
        <f>IF(C60="","",TODAY()-C60)</f>
        <v/>
      </c>
    </row>
    <row r="61">
      <c r="A61" s="5" t="inlineStr">
        <is>
          <t>XT0150</t>
        </is>
      </c>
      <c r="B61" s="3" t="inlineStr">
        <is>
          <t>63011011</t>
        </is>
      </c>
      <c r="C61" s="6" t="n">
        <v>44171</v>
      </c>
      <c r="D61" s="3" t="inlineStr">
        <is>
          <t>FZ</t>
        </is>
      </c>
      <c r="E61" s="3" t="inlineStr">
        <is>
          <t>LKR</t>
        </is>
      </c>
      <c r="F61" s="4" t="n">
        <v>-50000</v>
      </c>
      <c r="G61" s="3" t="inlineStr">
        <is>
          <t>USD</t>
        </is>
      </c>
      <c r="H61" s="4" t="n">
        <v>-268.51</v>
      </c>
      <c r="I61" s="5" t="n">
        <v/>
      </c>
      <c r="J61" s="3">
        <f>IF(C61="","",TODAY()-C61)</f>
        <v/>
      </c>
    </row>
    <row r="62">
      <c r="A62" s="5" t="inlineStr">
        <is>
          <t>XT0150</t>
        </is>
      </c>
      <c r="B62" s="3" t="inlineStr">
        <is>
          <t>63011011</t>
        </is>
      </c>
      <c r="C62" s="6" t="n">
        <v>44171</v>
      </c>
      <c r="D62" s="3" t="inlineStr">
        <is>
          <t>FZ</t>
        </is>
      </c>
      <c r="E62" s="3" t="inlineStr">
        <is>
          <t>LKR</t>
        </is>
      </c>
      <c r="F62" s="4" t="n">
        <v>-50000</v>
      </c>
      <c r="G62" s="3" t="inlineStr">
        <is>
          <t>USD</t>
        </is>
      </c>
      <c r="H62" s="4" t="n">
        <v>-268.51</v>
      </c>
      <c r="I62" s="5" t="n">
        <v/>
      </c>
      <c r="J62" s="3">
        <f>IF(C62="","",TODAY()-C62)</f>
        <v/>
      </c>
    </row>
    <row r="63">
      <c r="A63" s="5" t="inlineStr">
        <is>
          <t>XT0150</t>
        </is>
      </c>
      <c r="B63" s="3" t="inlineStr">
        <is>
          <t>63011011</t>
        </is>
      </c>
      <c r="C63" s="6" t="n">
        <v>44171</v>
      </c>
      <c r="D63" s="3" t="inlineStr">
        <is>
          <t>FZ</t>
        </is>
      </c>
      <c r="E63" s="3" t="inlineStr">
        <is>
          <t>LKR</t>
        </is>
      </c>
      <c r="F63" s="4" t="n">
        <v>-50000</v>
      </c>
      <c r="G63" s="3" t="inlineStr">
        <is>
          <t>USD</t>
        </is>
      </c>
      <c r="H63" s="4" t="n">
        <v>-268.51</v>
      </c>
      <c r="I63" s="5" t="n">
        <v/>
      </c>
      <c r="J63" s="3">
        <f>IF(C63="","",TODAY()-C63)</f>
        <v/>
      </c>
    </row>
    <row r="64">
      <c r="A64" s="5" t="inlineStr">
        <is>
          <t>XT0150</t>
        </is>
      </c>
      <c r="B64" s="3" t="inlineStr">
        <is>
          <t>63011011</t>
        </is>
      </c>
      <c r="C64" s="6" t="n">
        <v>44171</v>
      </c>
      <c r="D64" s="3" t="inlineStr">
        <is>
          <t>FZ</t>
        </is>
      </c>
      <c r="E64" s="3" t="inlineStr">
        <is>
          <t>LKR</t>
        </is>
      </c>
      <c r="F64" s="4" t="n">
        <v>-50000</v>
      </c>
      <c r="G64" s="3" t="inlineStr">
        <is>
          <t>USD</t>
        </is>
      </c>
      <c r="H64" s="4" t="n">
        <v>-268.51</v>
      </c>
      <c r="I64" s="5" t="n">
        <v/>
      </c>
      <c r="J64" s="3">
        <f>IF(C64="","",TODAY()-C64)</f>
        <v/>
      </c>
    </row>
    <row r="65">
      <c r="A65" s="5" t="inlineStr">
        <is>
          <t>XT0150</t>
        </is>
      </c>
      <c r="B65" s="3" t="inlineStr">
        <is>
          <t>63011011</t>
        </is>
      </c>
      <c r="C65" s="6" t="n">
        <v>44171</v>
      </c>
      <c r="D65" s="3" t="inlineStr">
        <is>
          <t>FZ</t>
        </is>
      </c>
      <c r="E65" s="3" t="inlineStr">
        <is>
          <t>LKR</t>
        </is>
      </c>
      <c r="F65" s="4" t="n">
        <v>-50000</v>
      </c>
      <c r="G65" s="3" t="inlineStr">
        <is>
          <t>USD</t>
        </is>
      </c>
      <c r="H65" s="4" t="n">
        <v>-268.51</v>
      </c>
      <c r="I65" s="5" t="n">
        <v/>
      </c>
      <c r="J65" s="3">
        <f>IF(C65="","",TODAY()-C65)</f>
        <v/>
      </c>
    </row>
    <row r="66">
      <c r="A66" s="5" t="inlineStr">
        <is>
          <t>XT0150</t>
        </is>
      </c>
      <c r="B66" s="3" t="inlineStr">
        <is>
          <t>63011011</t>
        </is>
      </c>
      <c r="C66" s="6" t="n">
        <v>44171</v>
      </c>
      <c r="D66" s="3" t="inlineStr">
        <is>
          <t>FZ</t>
        </is>
      </c>
      <c r="E66" s="3" t="inlineStr">
        <is>
          <t>LKR</t>
        </is>
      </c>
      <c r="F66" s="4" t="n">
        <v>-50000</v>
      </c>
      <c r="G66" s="3" t="inlineStr">
        <is>
          <t>USD</t>
        </is>
      </c>
      <c r="H66" s="4" t="n">
        <v>-268.51</v>
      </c>
      <c r="I66" s="5" t="n">
        <v/>
      </c>
      <c r="J66" s="3">
        <f>IF(C66="","",TODAY()-C66)</f>
        <v/>
      </c>
    </row>
    <row r="67">
      <c r="A67" s="5" t="inlineStr">
        <is>
          <t>XT0150</t>
        </is>
      </c>
      <c r="B67" s="3" t="inlineStr">
        <is>
          <t>63011011</t>
        </is>
      </c>
      <c r="C67" s="6" t="n">
        <v>44171</v>
      </c>
      <c r="D67" s="3" t="inlineStr">
        <is>
          <t>FZ</t>
        </is>
      </c>
      <c r="E67" s="3" t="inlineStr">
        <is>
          <t>LKR</t>
        </is>
      </c>
      <c r="F67" s="4" t="n">
        <v>-50000</v>
      </c>
      <c r="G67" s="3" t="inlineStr">
        <is>
          <t>USD</t>
        </is>
      </c>
      <c r="H67" s="4" t="n">
        <v>-268.51</v>
      </c>
      <c r="I67" s="5" t="n">
        <v/>
      </c>
      <c r="J67" s="3">
        <f>IF(C67="","",TODAY()-C67)</f>
        <v/>
      </c>
    </row>
    <row r="68">
      <c r="A68" s="5" t="inlineStr">
        <is>
          <t>XT0150</t>
        </is>
      </c>
      <c r="B68" s="3" t="inlineStr">
        <is>
          <t>63011011</t>
        </is>
      </c>
      <c r="C68" s="6" t="n">
        <v>44171</v>
      </c>
      <c r="D68" s="3" t="inlineStr">
        <is>
          <t>FZ</t>
        </is>
      </c>
      <c r="E68" s="3" t="inlineStr">
        <is>
          <t>LKR</t>
        </is>
      </c>
      <c r="F68" s="4" t="n">
        <v>-50000</v>
      </c>
      <c r="G68" s="3" t="inlineStr">
        <is>
          <t>USD</t>
        </is>
      </c>
      <c r="H68" s="4" t="n">
        <v>-268.51</v>
      </c>
      <c r="I68" s="5" t="n">
        <v/>
      </c>
      <c r="J68" s="3">
        <f>IF(C68="","",TODAY()-C68)</f>
        <v/>
      </c>
    </row>
    <row r="69">
      <c r="A69" s="5" t="inlineStr">
        <is>
          <t>XT0150</t>
        </is>
      </c>
      <c r="B69" s="3" t="inlineStr">
        <is>
          <t>63011011</t>
        </is>
      </c>
      <c r="C69" s="6" t="n">
        <v>44171</v>
      </c>
      <c r="D69" s="3" t="inlineStr">
        <is>
          <t>FZ</t>
        </is>
      </c>
      <c r="E69" s="3" t="inlineStr">
        <is>
          <t>LKR</t>
        </is>
      </c>
      <c r="F69" s="4" t="n">
        <v>-50000</v>
      </c>
      <c r="G69" s="3" t="inlineStr">
        <is>
          <t>USD</t>
        </is>
      </c>
      <c r="H69" s="4" t="n">
        <v>-268.51</v>
      </c>
      <c r="I69" s="5" t="n">
        <v/>
      </c>
      <c r="J69" s="3">
        <f>IF(C69="","",TODAY()-C69)</f>
        <v/>
      </c>
    </row>
    <row r="70">
      <c r="A70" s="5" t="inlineStr">
        <is>
          <t>XT0150</t>
        </is>
      </c>
      <c r="B70" s="3" t="inlineStr">
        <is>
          <t>63011011</t>
        </is>
      </c>
      <c r="C70" s="6" t="n">
        <v>44171</v>
      </c>
      <c r="D70" s="3" t="inlineStr">
        <is>
          <t>FZ</t>
        </is>
      </c>
      <c r="E70" s="3" t="inlineStr">
        <is>
          <t>LKR</t>
        </is>
      </c>
      <c r="F70" s="4" t="n">
        <v>-50000</v>
      </c>
      <c r="G70" s="3" t="inlineStr">
        <is>
          <t>USD</t>
        </is>
      </c>
      <c r="H70" s="4" t="n">
        <v>-268.51</v>
      </c>
      <c r="I70" s="5" t="n">
        <v/>
      </c>
      <c r="J70" s="3">
        <f>IF(C70="","",TODAY()-C70)</f>
        <v/>
      </c>
    </row>
    <row r="71">
      <c r="A71" s="5" t="inlineStr">
        <is>
          <t>XT0150</t>
        </is>
      </c>
      <c r="B71" s="3" t="inlineStr">
        <is>
          <t>63011011</t>
        </is>
      </c>
      <c r="C71" s="6" t="n">
        <v>44171</v>
      </c>
      <c r="D71" s="3" t="inlineStr">
        <is>
          <t>FZ</t>
        </is>
      </c>
      <c r="E71" s="3" t="inlineStr">
        <is>
          <t>LKR</t>
        </is>
      </c>
      <c r="F71" s="4" t="n">
        <v>-50000</v>
      </c>
      <c r="G71" s="3" t="inlineStr">
        <is>
          <t>USD</t>
        </is>
      </c>
      <c r="H71" s="4" t="n">
        <v>-268.51</v>
      </c>
      <c r="I71" s="5" t="inlineStr">
        <is>
          <t>BdyOPA DLL Ltd CB00000036823050007056003CL EUM F</t>
        </is>
      </c>
      <c r="J71" s="3">
        <f>IF(C71="","",TODAY()-C71)</f>
        <v/>
      </c>
    </row>
    <row r="72">
      <c r="A72" s="5" t="inlineStr">
        <is>
          <t>XT0150</t>
        </is>
      </c>
      <c r="B72" s="3" t="inlineStr">
        <is>
          <t>63011011</t>
        </is>
      </c>
      <c r="C72" s="6" t="n">
        <v>44171</v>
      </c>
      <c r="D72" s="3" t="inlineStr">
        <is>
          <t>FZ</t>
        </is>
      </c>
      <c r="E72" s="3" t="inlineStr">
        <is>
          <t>LKR</t>
        </is>
      </c>
      <c r="F72" s="4" t="n">
        <v>-50000</v>
      </c>
      <c r="G72" s="3" t="inlineStr">
        <is>
          <t>USD</t>
        </is>
      </c>
      <c r="H72" s="4" t="n">
        <v>-268.51</v>
      </c>
      <c r="I72" s="5" t="inlineStr">
        <is>
          <t>BdyOPA DLL Ltd CB00000036823050007056003CL EUM F</t>
        </is>
      </c>
      <c r="J72" s="3">
        <f>IF(C72="","",TODAY()-C72)</f>
        <v/>
      </c>
    </row>
    <row r="73">
      <c r="A73" s="5" t="inlineStr">
        <is>
          <t>XT0150</t>
        </is>
      </c>
      <c r="B73" s="3" t="inlineStr">
        <is>
          <t>63011011</t>
        </is>
      </c>
      <c r="C73" s="6" t="n">
        <v>44171</v>
      </c>
      <c r="D73" s="3" t="inlineStr">
        <is>
          <t>FZ</t>
        </is>
      </c>
      <c r="E73" s="3" t="inlineStr">
        <is>
          <t>LKR</t>
        </is>
      </c>
      <c r="F73" s="4" t="n">
        <v>-50000</v>
      </c>
      <c r="G73" s="3" t="inlineStr">
        <is>
          <t>USD</t>
        </is>
      </c>
      <c r="H73" s="4" t="n">
        <v>-268.51</v>
      </c>
      <c r="I73" s="5" t="inlineStr">
        <is>
          <t>BdyOPA DLL Ltd CB00000036823050007056003CL EUM F</t>
        </is>
      </c>
      <c r="J73" s="3">
        <f>IF(C73="","",TODAY()-C73)</f>
        <v/>
      </c>
    </row>
    <row r="74">
      <c r="A74" s="5" t="inlineStr">
        <is>
          <t>XT0150</t>
        </is>
      </c>
      <c r="B74" s="3" t="inlineStr">
        <is>
          <t>63011011</t>
        </is>
      </c>
      <c r="C74" s="6" t="n">
        <v>44171</v>
      </c>
      <c r="D74" s="3" t="inlineStr">
        <is>
          <t>FZ</t>
        </is>
      </c>
      <c r="E74" s="3" t="inlineStr">
        <is>
          <t>LKR</t>
        </is>
      </c>
      <c r="F74" s="4" t="n">
        <v>-50000</v>
      </c>
      <c r="G74" s="3" t="inlineStr">
        <is>
          <t>USD</t>
        </is>
      </c>
      <c r="H74" s="4" t="n">
        <v>-268.51</v>
      </c>
      <c r="I74" s="5" t="inlineStr">
        <is>
          <t>BdyOPA DLL Ltd CB00000036823050007056003CL EUM F</t>
        </is>
      </c>
      <c r="J74" s="3">
        <f>IF(C74="","",TODAY()-C74)</f>
        <v/>
      </c>
    </row>
    <row r="75">
      <c r="A75" s="5" t="inlineStr">
        <is>
          <t>XT0150</t>
        </is>
      </c>
      <c r="B75" s="3" t="inlineStr">
        <is>
          <t>63011011</t>
        </is>
      </c>
      <c r="C75" s="6" t="n">
        <v>44171</v>
      </c>
      <c r="D75" s="3" t="inlineStr">
        <is>
          <t>FZ</t>
        </is>
      </c>
      <c r="E75" s="3" t="inlineStr">
        <is>
          <t>LKR</t>
        </is>
      </c>
      <c r="F75" s="4" t="n">
        <v>-50000</v>
      </c>
      <c r="G75" s="3" t="inlineStr">
        <is>
          <t>USD</t>
        </is>
      </c>
      <c r="H75" s="4" t="n">
        <v>-268.51</v>
      </c>
      <c r="I75" s="5" t="inlineStr">
        <is>
          <t>BdyOPA DLL Ltd CB00000036823050007056003CL EUM F</t>
        </is>
      </c>
      <c r="J75" s="3">
        <f>IF(C75="","",TODAY()-C75)</f>
        <v/>
      </c>
    </row>
    <row r="76">
      <c r="A76" s="5" t="inlineStr">
        <is>
          <t>XT0150</t>
        </is>
      </c>
      <c r="B76" s="3" t="inlineStr">
        <is>
          <t>63011011</t>
        </is>
      </c>
      <c r="C76" s="6" t="n">
        <v>44171</v>
      </c>
      <c r="D76" s="3" t="inlineStr">
        <is>
          <t>FZ</t>
        </is>
      </c>
      <c r="E76" s="3" t="inlineStr">
        <is>
          <t>LKR</t>
        </is>
      </c>
      <c r="F76" s="4" t="n">
        <v>-50000</v>
      </c>
      <c r="G76" s="3" t="inlineStr">
        <is>
          <t>USD</t>
        </is>
      </c>
      <c r="H76" s="4" t="n">
        <v>-268.51</v>
      </c>
      <c r="I76" s="5" t="inlineStr">
        <is>
          <t>BdyOPA DLL Ltd CB00000036823050007056003CL EUM F</t>
        </is>
      </c>
      <c r="J76" s="3">
        <f>IF(C76="","",TODAY()-C76)</f>
        <v/>
      </c>
    </row>
    <row r="77">
      <c r="A77" s="5" t="inlineStr">
        <is>
          <t>XT0150</t>
        </is>
      </c>
      <c r="B77" s="3" t="inlineStr">
        <is>
          <t>63011011</t>
        </is>
      </c>
      <c r="C77" s="6" t="n">
        <v>44171</v>
      </c>
      <c r="D77" s="3" t="inlineStr">
        <is>
          <t>FZ</t>
        </is>
      </c>
      <c r="E77" s="3" t="inlineStr">
        <is>
          <t>LKR</t>
        </is>
      </c>
      <c r="F77" s="4" t="n">
        <v>-50000</v>
      </c>
      <c r="G77" s="3" t="inlineStr">
        <is>
          <t>USD</t>
        </is>
      </c>
      <c r="H77" s="4" t="n">
        <v>-268.51</v>
      </c>
      <c r="I77" s="5" t="inlineStr">
        <is>
          <t>BdyOPA DLL Ltd CB00000036823050007056003CL EUM F</t>
        </is>
      </c>
      <c r="J77" s="3">
        <f>IF(C77="","",TODAY()-C77)</f>
        <v/>
      </c>
    </row>
    <row r="78">
      <c r="A78" s="5" t="inlineStr">
        <is>
          <t>XT0150</t>
        </is>
      </c>
      <c r="B78" s="3" t="inlineStr">
        <is>
          <t>63011011</t>
        </is>
      </c>
      <c r="C78" s="6" t="n">
        <v>44171</v>
      </c>
      <c r="D78" s="3" t="inlineStr">
        <is>
          <t>FZ</t>
        </is>
      </c>
      <c r="E78" s="3" t="inlineStr">
        <is>
          <t>LKR</t>
        </is>
      </c>
      <c r="F78" s="4" t="n">
        <v>-50000</v>
      </c>
      <c r="G78" s="3" t="inlineStr">
        <is>
          <t>USD</t>
        </is>
      </c>
      <c r="H78" s="4" t="n">
        <v>-268.51</v>
      </c>
      <c r="I78" s="5" t="inlineStr">
        <is>
          <t>BdyOPA DLL Ltd CB00000036823050007056003CL EUM F</t>
        </is>
      </c>
      <c r="J78" s="3">
        <f>IF(C78="","",TODAY()-C78)</f>
        <v/>
      </c>
    </row>
    <row r="79">
      <c r="A79" s="7" t="n"/>
      <c r="B79" s="7" t="n"/>
      <c r="C79" s="7" t="n"/>
      <c r="D79" s="7" t="n"/>
      <c r="E79" s="7" t="n"/>
      <c r="F79" s="8">
        <f>SUM(F4:F78)</f>
        <v/>
      </c>
      <c r="G79" s="7" t="n"/>
      <c r="H79" s="8">
        <f>SUM(H4:H78)</f>
        <v/>
      </c>
      <c r="I79" s="7" t="n"/>
      <c r="J79" s="7" t="n"/>
    </row>
  </sheetData>
  <mergeCells count="1"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2" customWidth="1" min="9" max="9"/>
    <col width="30" customWidth="1" min="10" max="10"/>
  </cols>
  <sheetData>
    <row r="1"/>
    <row r="2">
      <c r="A2" s="1" t="inlineStr">
        <is>
          <t>Account: 63020001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XT0151</t>
        </is>
      </c>
      <c r="B4" s="3" t="inlineStr">
        <is>
          <t>63020001</t>
        </is>
      </c>
      <c r="C4" s="6" t="n">
        <v>44049</v>
      </c>
      <c r="D4" s="3" t="inlineStr">
        <is>
          <t>PZ</t>
        </is>
      </c>
      <c r="E4" s="3" t="inlineStr">
        <is>
          <t>LKR</t>
        </is>
      </c>
      <c r="F4" s="4" t="n">
        <v>200</v>
      </c>
      <c r="G4" s="3" t="inlineStr">
        <is>
          <t>USD</t>
        </is>
      </c>
      <c r="H4" s="4" t="n">
        <v>1.07</v>
      </c>
      <c r="I4" s="5" t="inlineStr">
        <is>
          <t>ScrEUp sEUle</t>
        </is>
      </c>
      <c r="J4" s="3">
        <f>IF(C4="","",TODAY()-C4)</f>
        <v/>
      </c>
    </row>
    <row r="5">
      <c r="A5" s="5" t="inlineStr">
        <is>
          <t>XT0151</t>
        </is>
      </c>
      <c r="B5" s="3" t="inlineStr">
        <is>
          <t>63020001</t>
        </is>
      </c>
      <c r="C5" s="6" t="n">
        <v>44049</v>
      </c>
      <c r="D5" s="3" t="inlineStr">
        <is>
          <t>PZ</t>
        </is>
      </c>
      <c r="E5" s="3" t="inlineStr">
        <is>
          <t>LKR</t>
        </is>
      </c>
      <c r="F5" s="4" t="n">
        <v>200</v>
      </c>
      <c r="G5" s="3" t="inlineStr">
        <is>
          <t>USD</t>
        </is>
      </c>
      <c r="H5" s="4" t="n">
        <v>1.07</v>
      </c>
      <c r="I5" s="5" t="inlineStr">
        <is>
          <t>ScrEUp sEUle</t>
        </is>
      </c>
      <c r="J5" s="3">
        <f>IF(C5="","",TODAY()-C5)</f>
        <v/>
      </c>
    </row>
    <row r="6">
      <c r="A6" s="5" t="inlineStr">
        <is>
          <t>XT0151</t>
        </is>
      </c>
      <c r="B6" s="3" t="inlineStr">
        <is>
          <t>63020001</t>
        </is>
      </c>
      <c r="C6" s="6" t="n">
        <v>44049</v>
      </c>
      <c r="D6" s="3" t="inlineStr">
        <is>
          <t>PZ</t>
        </is>
      </c>
      <c r="E6" s="3" t="inlineStr">
        <is>
          <t>LKR</t>
        </is>
      </c>
      <c r="F6" s="4" t="n">
        <v>70</v>
      </c>
      <c r="G6" s="3" t="inlineStr">
        <is>
          <t>USD</t>
        </is>
      </c>
      <c r="H6" s="4" t="n">
        <v>0.38</v>
      </c>
      <c r="I6" s="5" t="inlineStr">
        <is>
          <t>ScrEUp sEUle</t>
        </is>
      </c>
      <c r="J6" s="3">
        <f>IF(C6="","",TODAY()-C6)</f>
        <v/>
      </c>
    </row>
    <row r="7">
      <c r="A7" s="5" t="inlineStr">
        <is>
          <t>XT0151</t>
        </is>
      </c>
      <c r="B7" s="3" t="inlineStr">
        <is>
          <t>63020001</t>
        </is>
      </c>
      <c r="C7" s="6" t="n">
        <v>44049</v>
      </c>
      <c r="D7" s="3" t="inlineStr">
        <is>
          <t>PZ</t>
        </is>
      </c>
      <c r="E7" s="3" t="inlineStr">
        <is>
          <t>LKR</t>
        </is>
      </c>
      <c r="F7" s="4" t="n">
        <v>40</v>
      </c>
      <c r="G7" s="3" t="inlineStr">
        <is>
          <t>USD</t>
        </is>
      </c>
      <c r="H7" s="4" t="n">
        <v>0.21</v>
      </c>
      <c r="I7" s="5" t="inlineStr">
        <is>
          <t>ScrEUp sEUle</t>
        </is>
      </c>
      <c r="J7" s="3">
        <f>IF(C7="","",TODAY()-C7)</f>
        <v/>
      </c>
    </row>
    <row r="8">
      <c r="A8" s="5" t="inlineStr">
        <is>
          <t>XT0151</t>
        </is>
      </c>
      <c r="B8" s="3" t="inlineStr">
        <is>
          <t>63020001</t>
        </is>
      </c>
      <c r="C8" s="6" t="n">
        <v>43867</v>
      </c>
      <c r="D8" s="3" t="inlineStr">
        <is>
          <t>PZ</t>
        </is>
      </c>
      <c r="E8" s="3" t="inlineStr">
        <is>
          <t>LKR</t>
        </is>
      </c>
      <c r="F8" s="4" t="n">
        <v>175</v>
      </c>
      <c r="G8" s="3" t="inlineStr">
        <is>
          <t>USD</t>
        </is>
      </c>
      <c r="H8" s="4" t="n">
        <v>0.9399999999999999</v>
      </c>
      <c r="I8" s="5" t="inlineStr">
        <is>
          <t>ScrEUp SEUle</t>
        </is>
      </c>
      <c r="J8" s="3">
        <f>IF(C8="","",TODAY()-C8)</f>
        <v/>
      </c>
    </row>
    <row r="9">
      <c r="A9" s="5" t="inlineStr">
        <is>
          <t>XT0151</t>
        </is>
      </c>
      <c r="B9" s="3" t="inlineStr">
        <is>
          <t>63020001</t>
        </is>
      </c>
      <c r="C9" s="6" t="n">
        <v>43867</v>
      </c>
      <c r="D9" s="3" t="inlineStr">
        <is>
          <t>PZ</t>
        </is>
      </c>
      <c r="E9" s="3" t="inlineStr">
        <is>
          <t>LKR</t>
        </is>
      </c>
      <c r="F9" s="4" t="n">
        <v>200</v>
      </c>
      <c r="G9" s="3" t="inlineStr">
        <is>
          <t>USD</t>
        </is>
      </c>
      <c r="H9" s="4" t="n">
        <v>1.07</v>
      </c>
      <c r="I9" s="5" t="inlineStr">
        <is>
          <t>ScrEUp SEUle</t>
        </is>
      </c>
      <c r="J9" s="3">
        <f>IF(C9="","",TODAY()-C9)</f>
        <v/>
      </c>
    </row>
    <row r="10">
      <c r="A10" s="5" t="inlineStr">
        <is>
          <t>XT0151</t>
        </is>
      </c>
      <c r="B10" s="3" t="inlineStr">
        <is>
          <t>63020001</t>
        </is>
      </c>
      <c r="C10" s="6" t="n">
        <v>43867</v>
      </c>
      <c r="D10" s="3" t="inlineStr">
        <is>
          <t>PZ</t>
        </is>
      </c>
      <c r="E10" s="3" t="inlineStr">
        <is>
          <t>LKR</t>
        </is>
      </c>
      <c r="F10" s="4" t="n">
        <v>500</v>
      </c>
      <c r="G10" s="3" t="inlineStr">
        <is>
          <t>USD</t>
        </is>
      </c>
      <c r="H10" s="4" t="n">
        <v>2.69</v>
      </c>
      <c r="I10" s="5" t="inlineStr">
        <is>
          <t>ScrEUp SEUle</t>
        </is>
      </c>
      <c r="J10" s="3">
        <f>IF(C10="","",TODAY()-C10)</f>
        <v/>
      </c>
    </row>
    <row r="11">
      <c r="A11" s="5" t="inlineStr">
        <is>
          <t>XT0151</t>
        </is>
      </c>
      <c r="B11" s="3" t="inlineStr">
        <is>
          <t>63020001</t>
        </is>
      </c>
      <c r="C11" s="6" t="n">
        <v>43867</v>
      </c>
      <c r="D11" s="3" t="inlineStr">
        <is>
          <t>PZ</t>
        </is>
      </c>
      <c r="E11" s="3" t="inlineStr">
        <is>
          <t>LKR</t>
        </is>
      </c>
      <c r="F11" s="4" t="n">
        <v>200</v>
      </c>
      <c r="G11" s="3" t="inlineStr">
        <is>
          <t>USD</t>
        </is>
      </c>
      <c r="H11" s="4" t="n">
        <v>1.07</v>
      </c>
      <c r="I11" s="5" t="inlineStr">
        <is>
          <t>ScrEUp SEUle</t>
        </is>
      </c>
      <c r="J11" s="3">
        <f>IF(C11="","",TODAY()-C11)</f>
        <v/>
      </c>
    </row>
    <row r="12">
      <c r="A12" s="5" t="inlineStr">
        <is>
          <t>XT0151</t>
        </is>
      </c>
      <c r="B12" s="3" t="inlineStr">
        <is>
          <t>63020001</t>
        </is>
      </c>
      <c r="C12" s="6" t="n">
        <v>43867</v>
      </c>
      <c r="D12" s="3" t="inlineStr">
        <is>
          <t>PZ</t>
        </is>
      </c>
      <c r="E12" s="3" t="inlineStr">
        <is>
          <t>LKR</t>
        </is>
      </c>
      <c r="F12" s="4" t="n">
        <v>200</v>
      </c>
      <c r="G12" s="3" t="inlineStr">
        <is>
          <t>USD</t>
        </is>
      </c>
      <c r="H12" s="4" t="n">
        <v>1.07</v>
      </c>
      <c r="I12" s="5" t="inlineStr">
        <is>
          <t>ScrEUp SEUle</t>
        </is>
      </c>
      <c r="J12" s="3">
        <f>IF(C12="","",TODAY()-C12)</f>
        <v/>
      </c>
    </row>
    <row r="13">
      <c r="A13" s="5" t="inlineStr">
        <is>
          <t>XT0151</t>
        </is>
      </c>
      <c r="B13" s="3" t="inlineStr">
        <is>
          <t>63020001</t>
        </is>
      </c>
      <c r="C13" s="6" t="n">
        <v>43867</v>
      </c>
      <c r="D13" s="3" t="inlineStr">
        <is>
          <t>PZ</t>
        </is>
      </c>
      <c r="E13" s="3" t="inlineStr">
        <is>
          <t>LKR</t>
        </is>
      </c>
      <c r="F13" s="4" t="n">
        <v>200</v>
      </c>
      <c r="G13" s="3" t="inlineStr">
        <is>
          <t>USD</t>
        </is>
      </c>
      <c r="H13" s="4" t="n">
        <v>1.07</v>
      </c>
      <c r="I13" s="5" t="inlineStr">
        <is>
          <t>ScrEUp SEUle</t>
        </is>
      </c>
      <c r="J13" s="3">
        <f>IF(C13="","",TODAY()-C13)</f>
        <v/>
      </c>
    </row>
    <row r="14">
      <c r="A14" s="5" t="inlineStr">
        <is>
          <t>XT0151</t>
        </is>
      </c>
      <c r="B14" s="3" t="inlineStr">
        <is>
          <t>63020001</t>
        </is>
      </c>
      <c r="C14" s="6" t="n">
        <v>44110</v>
      </c>
      <c r="D14" s="3" t="inlineStr">
        <is>
          <t>PZ</t>
        </is>
      </c>
      <c r="E14" s="3" t="inlineStr">
        <is>
          <t>LKR</t>
        </is>
      </c>
      <c r="F14" s="4" t="n">
        <v>200</v>
      </c>
      <c r="G14" s="3" t="inlineStr">
        <is>
          <t>USD</t>
        </is>
      </c>
      <c r="H14" s="4" t="n">
        <v>1.07</v>
      </c>
      <c r="I14" s="5" t="inlineStr">
        <is>
          <t>ScrEUp sEUle</t>
        </is>
      </c>
      <c r="J14" s="3">
        <f>IF(C14="","",TODAY()-C14)</f>
        <v/>
      </c>
    </row>
    <row r="15">
      <c r="A15" s="5" t="inlineStr">
        <is>
          <t>XT0151</t>
        </is>
      </c>
      <c r="B15" s="3" t="inlineStr">
        <is>
          <t>63020001</t>
        </is>
      </c>
      <c r="C15" s="6" t="n">
        <v>44110</v>
      </c>
      <c r="D15" s="3" t="inlineStr">
        <is>
          <t>PZ</t>
        </is>
      </c>
      <c r="E15" s="3" t="inlineStr">
        <is>
          <t>LKR</t>
        </is>
      </c>
      <c r="F15" s="4" t="n">
        <v>200</v>
      </c>
      <c r="G15" s="3" t="inlineStr">
        <is>
          <t>USD</t>
        </is>
      </c>
      <c r="H15" s="4" t="n">
        <v>1.07</v>
      </c>
      <c r="I15" s="5" t="inlineStr">
        <is>
          <t>ScrEUp sEUle</t>
        </is>
      </c>
      <c r="J15" s="3">
        <f>IF(C15="","",TODAY()-C15)</f>
        <v/>
      </c>
    </row>
    <row r="16">
      <c r="A16" s="5" t="inlineStr">
        <is>
          <t>XT0150</t>
        </is>
      </c>
      <c r="B16" s="3" t="inlineStr">
        <is>
          <t>63020001</t>
        </is>
      </c>
      <c r="C16" s="3" t="n">
        <v/>
      </c>
      <c r="D16" s="3" t="inlineStr">
        <is>
          <t>TN</t>
        </is>
      </c>
      <c r="E16" s="3" t="inlineStr">
        <is>
          <t>LKR</t>
        </is>
      </c>
      <c r="F16" s="4" t="n">
        <v>-11000.1</v>
      </c>
      <c r="G16" s="3" t="inlineStr">
        <is>
          <t>USD</t>
        </is>
      </c>
      <c r="H16" s="4" t="n">
        <v>-59.07</v>
      </c>
      <c r="I16" s="5" t="inlineStr">
        <is>
          <t>EUBCNSFER CREDT</t>
        </is>
      </c>
      <c r="J16" s="3">
        <f>IF(C16="","",TODAY()-C16)</f>
        <v/>
      </c>
    </row>
    <row r="17">
      <c r="A17" s="5" t="inlineStr">
        <is>
          <t>XT0150</t>
        </is>
      </c>
      <c r="B17" s="3" t="inlineStr">
        <is>
          <t>63020001</t>
        </is>
      </c>
      <c r="C17" s="6" t="n">
        <v>44110</v>
      </c>
      <c r="D17" s="3" t="inlineStr">
        <is>
          <t>TN</t>
        </is>
      </c>
      <c r="E17" s="3" t="inlineStr">
        <is>
          <t>LKR</t>
        </is>
      </c>
      <c r="F17" s="4" t="n">
        <v>-10633.38</v>
      </c>
      <c r="G17" s="3" t="inlineStr">
        <is>
          <t>USD</t>
        </is>
      </c>
      <c r="H17" s="4" t="n">
        <v>-57.1</v>
      </c>
      <c r="I17" s="5" t="inlineStr">
        <is>
          <t>EUBCNSFER CREDT</t>
        </is>
      </c>
      <c r="J17" s="3">
        <f>IF(C17="","",TODAY()-C17)</f>
        <v/>
      </c>
    </row>
    <row r="18">
      <c r="A18" s="5" t="inlineStr">
        <is>
          <t>XT0150</t>
        </is>
      </c>
      <c r="B18" s="3" t="inlineStr">
        <is>
          <t>63020001</t>
        </is>
      </c>
      <c r="C18" s="6" t="n">
        <v>44171</v>
      </c>
      <c r="D18" s="3" t="inlineStr">
        <is>
          <t>TN</t>
        </is>
      </c>
      <c r="E18" s="3" t="inlineStr">
        <is>
          <t>LKR</t>
        </is>
      </c>
      <c r="F18" s="4" t="n">
        <v>-149185</v>
      </c>
      <c r="G18" s="3" t="inlineStr">
        <is>
          <t>USD</t>
        </is>
      </c>
      <c r="H18" s="4" t="n">
        <v>-801.17</v>
      </c>
      <c r="I18" s="5" t="inlineStr">
        <is>
          <t>CEUFEUTEREU . .</t>
        </is>
      </c>
      <c r="J18" s="3">
        <f>IF(C18="","",TODAY()-C18)</f>
        <v/>
      </c>
    </row>
    <row r="19">
      <c r="A19" s="5" t="inlineStr">
        <is>
          <t>XT0150</t>
        </is>
      </c>
      <c r="B19" s="3" t="inlineStr">
        <is>
          <t>63020001</t>
        </is>
      </c>
      <c r="C19" s="6" t="n">
        <v>44049</v>
      </c>
      <c r="D19" s="3" t="inlineStr">
        <is>
          <t>TN</t>
        </is>
      </c>
      <c r="E19" s="3" t="inlineStr">
        <is>
          <t>LKR</t>
        </is>
      </c>
      <c r="F19" s="4" t="n">
        <v>-104615</v>
      </c>
      <c r="G19" s="3" t="inlineStr">
        <is>
          <t>USD</t>
        </is>
      </c>
      <c r="H19" s="4" t="n">
        <v>-561.8099999999999</v>
      </c>
      <c r="I19" s="5" t="inlineStr">
        <is>
          <t>CEUFEUTEREU BPL 01 . .</t>
        </is>
      </c>
      <c r="J19" s="3">
        <f>IF(C19="","",TODAY()-C19)</f>
        <v/>
      </c>
    </row>
    <row r="20">
      <c r="A20" s="5" t="inlineStr">
        <is>
          <t>XT0150</t>
        </is>
      </c>
      <c r="B20" s="3" t="inlineStr">
        <is>
          <t>63020001</t>
        </is>
      </c>
      <c r="C20" s="6" t="n">
        <v>44049</v>
      </c>
      <c r="D20" s="3" t="inlineStr">
        <is>
          <t>TN</t>
        </is>
      </c>
      <c r="E20" s="3" t="inlineStr">
        <is>
          <t>LKR</t>
        </is>
      </c>
      <c r="F20" s="4" t="n">
        <v>-98595</v>
      </c>
      <c r="G20" s="3" t="inlineStr">
        <is>
          <t>USD</t>
        </is>
      </c>
      <c r="H20" s="4" t="n">
        <v>-529.48</v>
      </c>
      <c r="I20" s="5" t="inlineStr">
        <is>
          <t>CEUFEUTEREU BPL 01 . .</t>
        </is>
      </c>
      <c r="J20" s="3">
        <f>IF(C20="","",TODAY()-C20)</f>
        <v/>
      </c>
    </row>
    <row r="21">
      <c r="A21" s="5" t="inlineStr">
        <is>
          <t>XT0150</t>
        </is>
      </c>
      <c r="B21" s="3" t="inlineStr">
        <is>
          <t>63020001</t>
        </is>
      </c>
      <c r="C21" s="6" t="n">
        <v>44049</v>
      </c>
      <c r="D21" s="3" t="inlineStr">
        <is>
          <t>TN</t>
        </is>
      </c>
      <c r="E21" s="3" t="inlineStr">
        <is>
          <t>LKR</t>
        </is>
      </c>
      <c r="F21" s="4" t="n">
        <v>-86745</v>
      </c>
      <c r="G21" s="3" t="inlineStr">
        <is>
          <t>USD</t>
        </is>
      </c>
      <c r="H21" s="4" t="n">
        <v>-465.85</v>
      </c>
      <c r="I21" s="5" t="inlineStr">
        <is>
          <t>CEUFEUTEREU BPL 01 . .</t>
        </is>
      </c>
      <c r="J21" s="3">
        <f>IF(C21="","",TODAY()-C21)</f>
        <v/>
      </c>
    </row>
    <row r="22">
      <c r="A22" s="5" t="inlineStr">
        <is>
          <t>XT0150</t>
        </is>
      </c>
      <c r="B22" s="3" t="inlineStr">
        <is>
          <t>63020001</t>
        </is>
      </c>
      <c r="C22" s="6" t="n">
        <v>44049</v>
      </c>
      <c r="D22" s="3" t="inlineStr">
        <is>
          <t>TN</t>
        </is>
      </c>
      <c r="E22" s="3" t="inlineStr">
        <is>
          <t>LKR</t>
        </is>
      </c>
      <c r="F22" s="4" t="n">
        <v>-425</v>
      </c>
      <c r="G22" s="3" t="inlineStr">
        <is>
          <t>USD</t>
        </is>
      </c>
      <c r="H22" s="4" t="n">
        <v>-2.28</v>
      </c>
      <c r="I22" s="5" t="inlineStr">
        <is>
          <t>CEUFEUTEREU BPL 01 . .</t>
        </is>
      </c>
      <c r="J22" s="3">
        <f>IF(C22="","",TODAY()-C22)</f>
        <v/>
      </c>
    </row>
    <row r="23">
      <c r="A23" s="5" t="inlineStr">
        <is>
          <t>XT0150</t>
        </is>
      </c>
      <c r="B23" s="3" t="inlineStr">
        <is>
          <t>63020001</t>
        </is>
      </c>
      <c r="C23" s="6" t="n">
        <v>44080</v>
      </c>
      <c r="D23" s="3" t="inlineStr">
        <is>
          <t>TN</t>
        </is>
      </c>
      <c r="E23" s="3" t="inlineStr">
        <is>
          <t>LKR</t>
        </is>
      </c>
      <c r="F23" s="4" t="n">
        <v>-105100</v>
      </c>
      <c r="G23" s="3" t="inlineStr">
        <is>
          <t>USD</t>
        </is>
      </c>
      <c r="H23" s="4" t="n">
        <v>-564.42</v>
      </c>
      <c r="I23" s="5" t="inlineStr">
        <is>
          <t>CEUFEUTEREU BPL 01 . .</t>
        </is>
      </c>
      <c r="J23" s="3">
        <f>IF(C23="","",TODAY()-C23)</f>
        <v/>
      </c>
    </row>
    <row r="24">
      <c r="A24" s="5" t="inlineStr">
        <is>
          <t>XT0150</t>
        </is>
      </c>
      <c r="B24" s="3" t="inlineStr">
        <is>
          <t>63020001</t>
        </is>
      </c>
      <c r="C24" s="6" t="n">
        <v>44110</v>
      </c>
      <c r="D24" s="3" t="inlineStr">
        <is>
          <t>TN</t>
        </is>
      </c>
      <c r="E24" s="3" t="inlineStr">
        <is>
          <t>LKR</t>
        </is>
      </c>
      <c r="F24" s="4" t="n">
        <v>-137475</v>
      </c>
      <c r="G24" s="3" t="inlineStr">
        <is>
          <t>USD</t>
        </is>
      </c>
      <c r="H24" s="4" t="n">
        <v>-738.28</v>
      </c>
      <c r="I24" s="5" t="inlineStr">
        <is>
          <t>CEUFEUTEREU BPL 01 . .</t>
        </is>
      </c>
      <c r="J24" s="3">
        <f>IF(C24="","",TODAY()-C24)</f>
        <v/>
      </c>
    </row>
    <row r="25">
      <c r="A25" s="5" t="inlineStr">
        <is>
          <t>XT0150</t>
        </is>
      </c>
      <c r="B25" s="3" t="inlineStr">
        <is>
          <t>63020001</t>
        </is>
      </c>
      <c r="C25" s="6" t="n">
        <v>43867</v>
      </c>
      <c r="D25" s="3" t="inlineStr">
        <is>
          <t>TN</t>
        </is>
      </c>
      <c r="E25" s="3" t="inlineStr">
        <is>
          <t>LKR</t>
        </is>
      </c>
      <c r="F25" s="4" t="n">
        <v>-93955</v>
      </c>
      <c r="G25" s="3" t="inlineStr">
        <is>
          <t>USD</t>
        </is>
      </c>
      <c r="H25" s="4" t="n">
        <v>-504.56</v>
      </c>
      <c r="I25" s="5" t="inlineStr">
        <is>
          <t>CEUFEUTEREU BPL01 . .</t>
        </is>
      </c>
      <c r="J25" s="3">
        <f>IF(C25="","",TODAY()-C25)</f>
        <v/>
      </c>
    </row>
    <row r="26">
      <c r="A26" s="5" t="inlineStr">
        <is>
          <t>XT0150</t>
        </is>
      </c>
      <c r="B26" s="3" t="inlineStr">
        <is>
          <t>63020001</t>
        </is>
      </c>
      <c r="C26" s="6" t="n">
        <v>43896</v>
      </c>
      <c r="D26" s="3" t="inlineStr">
        <is>
          <t>TN</t>
        </is>
      </c>
      <c r="E26" s="3" t="inlineStr">
        <is>
          <t>LKR</t>
        </is>
      </c>
      <c r="F26" s="4" t="n">
        <v>-98960</v>
      </c>
      <c r="G26" s="3" t="inlineStr">
        <is>
          <t>USD</t>
        </is>
      </c>
      <c r="H26" s="4" t="n">
        <v>-531.4400000000001</v>
      </c>
      <c r="I26" s="5" t="inlineStr">
        <is>
          <t>CEUFEUTEREU BPL01 . .</t>
        </is>
      </c>
      <c r="J26" s="3">
        <f>IF(C26="","",TODAY()-C26)</f>
        <v/>
      </c>
    </row>
    <row r="27">
      <c r="A27" s="5" t="inlineStr">
        <is>
          <t>XT0150</t>
        </is>
      </c>
      <c r="B27" s="3" t="inlineStr">
        <is>
          <t>63020001</t>
        </is>
      </c>
      <c r="C27" s="6" t="n">
        <v>43836</v>
      </c>
      <c r="D27" s="3" t="inlineStr">
        <is>
          <t>TN</t>
        </is>
      </c>
      <c r="E27" s="3" t="inlineStr">
        <is>
          <t>LKR</t>
        </is>
      </c>
      <c r="F27" s="4" t="n">
        <v>-89805</v>
      </c>
      <c r="G27" s="3" t="inlineStr">
        <is>
          <t>USD</t>
        </is>
      </c>
      <c r="H27" s="4" t="n">
        <v>-482.28</v>
      </c>
      <c r="I27" s="5" t="inlineStr">
        <is>
          <t>CEUFETEUREU . .</t>
        </is>
      </c>
      <c r="J27" s="3">
        <f>IF(C27="","",TODAY()-C27)</f>
        <v/>
      </c>
    </row>
    <row r="28">
      <c r="A28" s="5" t="inlineStr">
        <is>
          <t>XT0150</t>
        </is>
      </c>
      <c r="B28" s="3" t="inlineStr">
        <is>
          <t>63020001</t>
        </is>
      </c>
      <c r="C28" s="6" t="n">
        <v>44141</v>
      </c>
      <c r="D28" s="3" t="inlineStr">
        <is>
          <t>TN</t>
        </is>
      </c>
      <c r="E28" s="3" t="inlineStr">
        <is>
          <t>LKR</t>
        </is>
      </c>
      <c r="F28" s="4" t="n">
        <v>-40750</v>
      </c>
      <c r="G28" s="3" t="inlineStr">
        <is>
          <t>USD</t>
        </is>
      </c>
      <c r="H28" s="4" t="n">
        <v>-218.84</v>
      </c>
      <c r="I28" s="5" t="inlineStr">
        <is>
          <t>CEUFETEREU CEUSH . .</t>
        </is>
      </c>
      <c r="J28" s="3">
        <f>IF(C28="","",TODAY()-C28)</f>
        <v/>
      </c>
    </row>
    <row r="29">
      <c r="A29" s="5" t="inlineStr">
        <is>
          <t>XT0150</t>
        </is>
      </c>
      <c r="B29" s="3" t="inlineStr">
        <is>
          <t>63020001</t>
        </is>
      </c>
      <c r="C29" s="6" t="n">
        <v>43836</v>
      </c>
      <c r="D29" s="3" t="inlineStr">
        <is>
          <t>TN</t>
        </is>
      </c>
      <c r="E29" s="3" t="inlineStr">
        <is>
          <t>LKR</t>
        </is>
      </c>
      <c r="F29" s="4" t="n">
        <v>-85215</v>
      </c>
      <c r="G29" s="3" t="inlineStr">
        <is>
          <t>USD</t>
        </is>
      </c>
      <c r="H29" s="4" t="n">
        <v>-457.63</v>
      </c>
      <c r="I29" s="5" t="inlineStr">
        <is>
          <t>CEUSH DEPST</t>
        </is>
      </c>
      <c r="J29" s="3">
        <f>IF(C29="","",TODAY()-C29)</f>
        <v/>
      </c>
    </row>
    <row r="30">
      <c r="A30" s="5" t="inlineStr">
        <is>
          <t>XT0150</t>
        </is>
      </c>
      <c r="B30" s="3" t="inlineStr">
        <is>
          <t>63020001</t>
        </is>
      </c>
      <c r="C30" s="6" t="n">
        <v>43836</v>
      </c>
      <c r="D30" s="3" t="inlineStr">
        <is>
          <t>TN</t>
        </is>
      </c>
      <c r="E30" s="3" t="inlineStr">
        <is>
          <t>LKR</t>
        </is>
      </c>
      <c r="F30" s="4" t="n">
        <v>-1325</v>
      </c>
      <c r="G30" s="3" t="inlineStr">
        <is>
          <t>USD</t>
        </is>
      </c>
      <c r="H30" s="4" t="n">
        <v>-7.12</v>
      </c>
      <c r="I30" s="5" t="inlineStr">
        <is>
          <t>CEUSH DEPST</t>
        </is>
      </c>
      <c r="J30" s="3">
        <f>IF(C30="","",TODAY()-C30)</f>
        <v/>
      </c>
    </row>
    <row r="31">
      <c r="A31" s="5" t="inlineStr">
        <is>
          <t>XT0150</t>
        </is>
      </c>
      <c r="B31" s="3" t="inlineStr">
        <is>
          <t>63020001</t>
        </is>
      </c>
      <c r="C31" s="6" t="n">
        <v>44141</v>
      </c>
      <c r="D31" s="3" t="inlineStr">
        <is>
          <t>TN</t>
        </is>
      </c>
      <c r="E31" s="3" t="inlineStr">
        <is>
          <t>LKR</t>
        </is>
      </c>
      <c r="F31" s="4" t="n">
        <v>-164125</v>
      </c>
      <c r="G31" s="3" t="inlineStr">
        <is>
          <t>USD</t>
        </is>
      </c>
      <c r="H31" s="4" t="n">
        <v>-881.4</v>
      </c>
      <c r="I31" s="5" t="inlineStr">
        <is>
          <t>CEUSH DEPST</t>
        </is>
      </c>
      <c r="J31" s="3">
        <f>IF(C31="","",TODAY()-C31)</f>
        <v/>
      </c>
    </row>
    <row r="32">
      <c r="A32" s="5" t="inlineStr">
        <is>
          <t>XT0150</t>
        </is>
      </c>
      <c r="B32" s="3" t="inlineStr">
        <is>
          <t>63020001</t>
        </is>
      </c>
      <c r="C32" s="6" t="n">
        <v>44141</v>
      </c>
      <c r="D32" s="3" t="inlineStr">
        <is>
          <t>TN</t>
        </is>
      </c>
      <c r="E32" s="3" t="inlineStr">
        <is>
          <t>LKR</t>
        </is>
      </c>
      <c r="F32" s="4" t="n">
        <v>-8060</v>
      </c>
      <c r="G32" s="3" t="inlineStr">
        <is>
          <t>USD</t>
        </is>
      </c>
      <c r="H32" s="4" t="n">
        <v>-43.28</v>
      </c>
      <c r="I32" s="5" t="inlineStr">
        <is>
          <t>CEUSH DEPST</t>
        </is>
      </c>
      <c r="J32" s="3">
        <f>IF(C32="","",TODAY()-C32)</f>
        <v/>
      </c>
    </row>
    <row r="33">
      <c r="A33" s="5" t="inlineStr">
        <is>
          <t>XT0150</t>
        </is>
      </c>
      <c r="B33" s="3" t="inlineStr">
        <is>
          <t>63020001</t>
        </is>
      </c>
      <c r="C33" s="6" t="n">
        <v>44171</v>
      </c>
      <c r="D33" s="3" t="inlineStr">
        <is>
          <t>TN</t>
        </is>
      </c>
      <c r="E33" s="3" t="inlineStr">
        <is>
          <t>LKR</t>
        </is>
      </c>
      <c r="F33" s="4" t="n">
        <v>-18400</v>
      </c>
      <c r="G33" s="3" t="inlineStr">
        <is>
          <t>USD</t>
        </is>
      </c>
      <c r="H33" s="4" t="n">
        <v>-98.81</v>
      </c>
      <c r="I33" s="5" t="inlineStr">
        <is>
          <t>CEUSH DEPST</t>
        </is>
      </c>
      <c r="J33" s="3">
        <f>IF(C33="","",TODAY()-C33)</f>
        <v/>
      </c>
    </row>
    <row r="34">
      <c r="A34" s="5" t="inlineStr">
        <is>
          <t>XT0150</t>
        </is>
      </c>
      <c r="B34" s="3" t="inlineStr">
        <is>
          <t>63020001</t>
        </is>
      </c>
      <c r="C34" s="6" t="n">
        <v>43867</v>
      </c>
      <c r="D34" s="3" t="inlineStr">
        <is>
          <t>TN</t>
        </is>
      </c>
      <c r="E34" s="3" t="inlineStr">
        <is>
          <t>LKR</t>
        </is>
      </c>
      <c r="F34" s="4" t="n">
        <v>-120000</v>
      </c>
      <c r="G34" s="3" t="inlineStr">
        <is>
          <t>USD</t>
        </is>
      </c>
      <c r="H34" s="4" t="n">
        <v>-644.4299999999999</v>
      </c>
      <c r="I34" s="5" t="inlineStr">
        <is>
          <t>CEUSH DEPST</t>
        </is>
      </c>
      <c r="J34" s="3">
        <f>IF(C34="","",TODAY()-C34)</f>
        <v/>
      </c>
    </row>
    <row r="35">
      <c r="A35" s="5" t="inlineStr">
        <is>
          <t>XT0150</t>
        </is>
      </c>
      <c r="B35" s="3" t="inlineStr">
        <is>
          <t>63020001</t>
        </is>
      </c>
      <c r="C35" s="6" t="n">
        <v>43867</v>
      </c>
      <c r="D35" s="3" t="inlineStr">
        <is>
          <t>TN</t>
        </is>
      </c>
      <c r="E35" s="3" t="inlineStr">
        <is>
          <t>LKR</t>
        </is>
      </c>
      <c r="F35" s="4" t="n">
        <v>-6915</v>
      </c>
      <c r="G35" s="3" t="inlineStr">
        <is>
          <t>USD</t>
        </is>
      </c>
      <c r="H35" s="4" t="n">
        <v>-37.14</v>
      </c>
      <c r="I35" s="5" t="inlineStr">
        <is>
          <t>CEUSH DEPST</t>
        </is>
      </c>
      <c r="J35" s="3">
        <f>IF(C35="","",TODAY()-C35)</f>
        <v/>
      </c>
    </row>
    <row r="36">
      <c r="A36" s="5" t="inlineStr">
        <is>
          <t>XT0150</t>
        </is>
      </c>
      <c r="B36" s="3" t="inlineStr">
        <is>
          <t>63020001</t>
        </is>
      </c>
      <c r="C36" s="6" t="n">
        <v>43867</v>
      </c>
      <c r="D36" s="3" t="inlineStr">
        <is>
          <t>TN</t>
        </is>
      </c>
      <c r="E36" s="3" t="inlineStr">
        <is>
          <t>LKR</t>
        </is>
      </c>
      <c r="F36" s="4" t="n">
        <v>-21558</v>
      </c>
      <c r="G36" s="3" t="inlineStr">
        <is>
          <t>USD</t>
        </is>
      </c>
      <c r="H36" s="4" t="n">
        <v>-115.77</v>
      </c>
      <c r="I36" s="5" t="inlineStr">
        <is>
          <t>CEUSH DEPST</t>
        </is>
      </c>
      <c r="J36" s="3">
        <f>IF(C36="","",TODAY()-C36)</f>
        <v/>
      </c>
    </row>
    <row r="37">
      <c r="A37" s="5" t="inlineStr">
        <is>
          <t>XT0150</t>
        </is>
      </c>
      <c r="B37" s="3" t="inlineStr">
        <is>
          <t>63020001</t>
        </is>
      </c>
      <c r="C37" s="6" t="n">
        <v>44110</v>
      </c>
      <c r="D37" s="3" t="inlineStr">
        <is>
          <t>TN</t>
        </is>
      </c>
      <c r="E37" s="3" t="inlineStr">
        <is>
          <t>LKR</t>
        </is>
      </c>
      <c r="F37" s="4" t="n">
        <v>-22905</v>
      </c>
      <c r="G37" s="3" t="inlineStr">
        <is>
          <t>USD</t>
        </is>
      </c>
      <c r="H37" s="4" t="n">
        <v>-123.01</v>
      </c>
      <c r="I37" s="5" t="n">
        <v/>
      </c>
      <c r="J37" s="3">
        <f>IF(C37="","",TODAY()-C37)</f>
        <v/>
      </c>
    </row>
    <row r="38">
      <c r="A38" s="5" t="inlineStr">
        <is>
          <t>XT0150</t>
        </is>
      </c>
      <c r="B38" s="3" t="inlineStr">
        <is>
          <t>63020001</t>
        </is>
      </c>
      <c r="C38" s="6" t="n">
        <v>44110</v>
      </c>
      <c r="D38" s="3" t="inlineStr">
        <is>
          <t>TN</t>
        </is>
      </c>
      <c r="E38" s="3" t="inlineStr">
        <is>
          <t>LKR</t>
        </is>
      </c>
      <c r="F38" s="4" t="n">
        <v>-67174.5</v>
      </c>
      <c r="G38" s="3" t="inlineStr">
        <is>
          <t>USD</t>
        </is>
      </c>
      <c r="H38" s="4" t="n">
        <v>-360.75</v>
      </c>
      <c r="I38" s="5" t="n">
        <v/>
      </c>
      <c r="J38" s="3">
        <f>IF(C38="","",TODAY()-C38)</f>
        <v/>
      </c>
    </row>
    <row r="39">
      <c r="A39" s="5" t="inlineStr">
        <is>
          <t>XT0150</t>
        </is>
      </c>
      <c r="B39" s="3" t="inlineStr">
        <is>
          <t>63020001</t>
        </is>
      </c>
      <c r="C39" s="6" t="n">
        <v>43867</v>
      </c>
      <c r="D39" s="3" t="inlineStr">
        <is>
          <t>TN</t>
        </is>
      </c>
      <c r="E39" s="3" t="inlineStr">
        <is>
          <t>LKR</t>
        </is>
      </c>
      <c r="F39" s="4" t="n">
        <v>-543396</v>
      </c>
      <c r="G39" s="3" t="inlineStr">
        <is>
          <t>USD</t>
        </is>
      </c>
      <c r="H39" s="4" t="n">
        <v>-2918.19</v>
      </c>
      <c r="I39" s="5" t="n">
        <v/>
      </c>
      <c r="J39" s="3">
        <f>IF(C39="","",TODAY()-C39)</f>
        <v/>
      </c>
    </row>
    <row r="40">
      <c r="A40" s="5" t="inlineStr">
        <is>
          <t>XT0150</t>
        </is>
      </c>
      <c r="B40" s="3" t="inlineStr">
        <is>
          <t>63020001</t>
        </is>
      </c>
      <c r="C40" s="6" t="n">
        <v>44080</v>
      </c>
      <c r="D40" s="3" t="inlineStr">
        <is>
          <t>TN</t>
        </is>
      </c>
      <c r="E40" s="3" t="inlineStr">
        <is>
          <t>LKR</t>
        </is>
      </c>
      <c r="F40" s="4" t="n">
        <v>-7000</v>
      </c>
      <c r="G40" s="3" t="inlineStr">
        <is>
          <t>USD</t>
        </is>
      </c>
      <c r="H40" s="4" t="n">
        <v>-37.59</v>
      </c>
      <c r="I40" s="5" t="n">
        <v/>
      </c>
      <c r="J40" s="3">
        <f>IF(C40="","",TODAY()-C40)</f>
        <v/>
      </c>
    </row>
    <row r="41">
      <c r="A41" s="5" t="inlineStr">
        <is>
          <t>XT0150</t>
        </is>
      </c>
      <c r="B41" s="3" t="inlineStr">
        <is>
          <t>63020001</t>
        </is>
      </c>
      <c r="C41" s="6" t="n">
        <v>44049</v>
      </c>
      <c r="D41" s="3" t="inlineStr">
        <is>
          <t>TN</t>
        </is>
      </c>
      <c r="E41" s="3" t="inlineStr">
        <is>
          <t>LKR</t>
        </is>
      </c>
      <c r="F41" s="4" t="n">
        <v>-21100</v>
      </c>
      <c r="G41" s="3" t="inlineStr">
        <is>
          <t>USD</t>
        </is>
      </c>
      <c r="H41" s="4" t="n">
        <v>-113.31</v>
      </c>
      <c r="I41" s="5" t="n">
        <v/>
      </c>
      <c r="J41" s="3">
        <f>IF(C41="","",TODAY()-C41)</f>
        <v/>
      </c>
    </row>
    <row r="42">
      <c r="A42" s="5" t="inlineStr">
        <is>
          <t>XT0150</t>
        </is>
      </c>
      <c r="B42" s="3" t="inlineStr">
        <is>
          <t>63020001</t>
        </is>
      </c>
      <c r="C42" s="6" t="n">
        <v>43896</v>
      </c>
      <c r="D42" s="3" t="inlineStr">
        <is>
          <t>TN</t>
        </is>
      </c>
      <c r="E42" s="3" t="inlineStr">
        <is>
          <t>LKR</t>
        </is>
      </c>
      <c r="F42" s="4" t="n">
        <v>-30000</v>
      </c>
      <c r="G42" s="3" t="inlineStr">
        <is>
          <t>USD</t>
        </is>
      </c>
      <c r="H42" s="4" t="n">
        <v>-161.11</v>
      </c>
      <c r="I42" s="5" t="inlineStr">
        <is>
          <t>EPF 55414 . .</t>
        </is>
      </c>
      <c r="J42" s="3">
        <f>IF(C42="","",TODAY()-C42)</f>
        <v/>
      </c>
    </row>
    <row r="43">
      <c r="A43" s="5" t="inlineStr">
        <is>
          <t>XT0150</t>
        </is>
      </c>
      <c r="B43" s="3" t="inlineStr">
        <is>
          <t>63020001</t>
        </is>
      </c>
      <c r="C43" s="6" t="n">
        <v>44171</v>
      </c>
      <c r="D43" s="3" t="inlineStr">
        <is>
          <t>TN</t>
        </is>
      </c>
      <c r="E43" s="3" t="inlineStr">
        <is>
          <t>LKR</t>
        </is>
      </c>
      <c r="F43" s="4" t="n">
        <v>-200</v>
      </c>
      <c r="G43" s="3" t="inlineStr">
        <is>
          <t>USD</t>
        </is>
      </c>
      <c r="H43" s="4" t="n">
        <v>-1.07</v>
      </c>
      <c r="I43" s="5" t="inlineStr">
        <is>
          <t>K P CHEUTHUREUNGEU 33068 WEURDEN CUPBEURD .</t>
        </is>
      </c>
      <c r="J43" s="3">
        <f>IF(C43="","",TODAY()-C43)</f>
        <v/>
      </c>
    </row>
    <row r="44">
      <c r="A44" s="5" t="inlineStr">
        <is>
          <t>XT0150</t>
        </is>
      </c>
      <c r="B44" s="3" t="inlineStr">
        <is>
          <t>63020001</t>
        </is>
      </c>
      <c r="C44" s="6" t="n">
        <v>43896</v>
      </c>
      <c r="D44" s="3" t="inlineStr">
        <is>
          <t>TN</t>
        </is>
      </c>
      <c r="E44" s="3" t="inlineStr">
        <is>
          <t>LKR</t>
        </is>
      </c>
      <c r="F44" s="4" t="n">
        <v>-18055</v>
      </c>
      <c r="G44" s="3" t="inlineStr">
        <is>
          <t>USD</t>
        </is>
      </c>
      <c r="H44" s="4" t="n">
        <v>-96.95999999999999</v>
      </c>
      <c r="I44" s="5" t="inlineStr">
        <is>
          <t>VER PEUYMENT . .</t>
        </is>
      </c>
      <c r="J44" s="3">
        <f>IF(C44="","",TODAY()-C44)</f>
        <v/>
      </c>
    </row>
    <row r="45">
      <c r="A45" s="5" t="inlineStr">
        <is>
          <t>XT0150</t>
        </is>
      </c>
      <c r="B45" s="3" t="inlineStr">
        <is>
          <t>63020001</t>
        </is>
      </c>
      <c r="C45" s="6" t="n">
        <v>43867</v>
      </c>
      <c r="D45" s="3" t="inlineStr">
        <is>
          <t>TN</t>
        </is>
      </c>
      <c r="E45" s="3" t="inlineStr">
        <is>
          <t>LKR</t>
        </is>
      </c>
      <c r="F45" s="4" t="n">
        <v>-175</v>
      </c>
      <c r="G45" s="3" t="inlineStr">
        <is>
          <t>USD</t>
        </is>
      </c>
      <c r="H45" s="4" t="n">
        <v>-0.9399999999999999</v>
      </c>
      <c r="I45" s="5" t="inlineStr">
        <is>
          <t>SCREUP SEULE . .</t>
        </is>
      </c>
      <c r="J45" s="3">
        <f>IF(C45="","",TODAY()-C45)</f>
        <v/>
      </c>
    </row>
    <row r="46">
      <c r="A46" s="5" t="inlineStr">
        <is>
          <t>XT0150</t>
        </is>
      </c>
      <c r="B46" s="3" t="inlineStr">
        <is>
          <t>63020001</t>
        </is>
      </c>
      <c r="C46" s="6" t="n">
        <v>44049</v>
      </c>
      <c r="D46" s="3" t="inlineStr">
        <is>
          <t>TN</t>
        </is>
      </c>
      <c r="E46" s="3" t="inlineStr">
        <is>
          <t>LKR</t>
        </is>
      </c>
      <c r="F46" s="4" t="n">
        <v>-40</v>
      </c>
      <c r="G46" s="3" t="inlineStr">
        <is>
          <t>USD</t>
        </is>
      </c>
      <c r="H46" s="4" t="n">
        <v>-0.21</v>
      </c>
      <c r="I46" s="5" t="inlineStr">
        <is>
          <t>SCREUP SEULE . .</t>
        </is>
      </c>
      <c r="J46" s="3">
        <f>IF(C46="","",TODAY()-C46)</f>
        <v/>
      </c>
    </row>
    <row r="47">
      <c r="A47" s="5" t="inlineStr">
        <is>
          <t>XT0150</t>
        </is>
      </c>
      <c r="B47" s="3" t="inlineStr">
        <is>
          <t>63020001</t>
        </is>
      </c>
      <c r="C47" s="6" t="n">
        <v>44049</v>
      </c>
      <c r="D47" s="3" t="inlineStr">
        <is>
          <t>TN</t>
        </is>
      </c>
      <c r="E47" s="3" t="inlineStr">
        <is>
          <t>LKR</t>
        </is>
      </c>
      <c r="F47" s="4" t="n">
        <v>-70</v>
      </c>
      <c r="G47" s="3" t="inlineStr">
        <is>
          <t>USD</t>
        </is>
      </c>
      <c r="H47" s="4" t="n">
        <v>-0.38</v>
      </c>
      <c r="I47" s="5" t="inlineStr">
        <is>
          <t>SCREUP SEULE . .</t>
        </is>
      </c>
      <c r="J47" s="3">
        <f>IF(C47="","",TODAY()-C47)</f>
        <v/>
      </c>
    </row>
    <row r="48">
      <c r="A48" s="5" t="inlineStr">
        <is>
          <t>XT0150</t>
        </is>
      </c>
      <c r="B48" s="3" t="inlineStr">
        <is>
          <t>63020001</t>
        </is>
      </c>
      <c r="C48" s="6" t="n">
        <v>44049</v>
      </c>
      <c r="D48" s="3" t="inlineStr">
        <is>
          <t>TN</t>
        </is>
      </c>
      <c r="E48" s="3" t="inlineStr">
        <is>
          <t>LKR</t>
        </is>
      </c>
      <c r="F48" s="4" t="n">
        <v>-200</v>
      </c>
      <c r="G48" s="3" t="inlineStr">
        <is>
          <t>USD</t>
        </is>
      </c>
      <c r="H48" s="4" t="n">
        <v>-1.07</v>
      </c>
      <c r="I48" s="5" t="inlineStr">
        <is>
          <t>SCREUP SEULE . .</t>
        </is>
      </c>
      <c r="J48" s="3">
        <f>IF(C48="","",TODAY()-C48)</f>
        <v/>
      </c>
    </row>
    <row r="49">
      <c r="A49" s="5" t="inlineStr">
        <is>
          <t>XT0150</t>
        </is>
      </c>
      <c r="B49" s="3" t="inlineStr">
        <is>
          <t>63020001</t>
        </is>
      </c>
      <c r="C49" s="6" t="n">
        <v>44049</v>
      </c>
      <c r="D49" s="3" t="inlineStr">
        <is>
          <t>TN</t>
        </is>
      </c>
      <c r="E49" s="3" t="inlineStr">
        <is>
          <t>LKR</t>
        </is>
      </c>
      <c r="F49" s="4" t="n">
        <v>-200</v>
      </c>
      <c r="G49" s="3" t="inlineStr">
        <is>
          <t>USD</t>
        </is>
      </c>
      <c r="H49" s="4" t="n">
        <v>-1.07</v>
      </c>
      <c r="I49" s="5" t="inlineStr">
        <is>
          <t>scrEUp sEUle . .</t>
        </is>
      </c>
      <c r="J49" s="3">
        <f>IF(C49="","",TODAY()-C49)</f>
        <v/>
      </c>
    </row>
    <row r="50">
      <c r="A50" s="5" t="inlineStr">
        <is>
          <t>XT0150</t>
        </is>
      </c>
      <c r="B50" s="3" t="inlineStr">
        <is>
          <t>63020001</t>
        </is>
      </c>
      <c r="C50" s="6" t="n">
        <v>44080</v>
      </c>
      <c r="D50" s="3" t="inlineStr">
        <is>
          <t>TN</t>
        </is>
      </c>
      <c r="E50" s="3" t="inlineStr">
        <is>
          <t>LKR</t>
        </is>
      </c>
      <c r="F50" s="4" t="n">
        <v>-200</v>
      </c>
      <c r="G50" s="3" t="inlineStr">
        <is>
          <t>USD</t>
        </is>
      </c>
      <c r="H50" s="4" t="n">
        <v>-1.07</v>
      </c>
      <c r="I50" s="5" t="inlineStr">
        <is>
          <t>SCREUP SEULE . .</t>
        </is>
      </c>
      <c r="J50" s="3">
        <f>IF(C50="","",TODAY()-C50)</f>
        <v/>
      </c>
    </row>
    <row r="51">
      <c r="A51" s="5" t="inlineStr">
        <is>
          <t>XT0150</t>
        </is>
      </c>
      <c r="B51" s="3" t="inlineStr">
        <is>
          <t>63020001</t>
        </is>
      </c>
      <c r="C51" s="6" t="n">
        <v>44080</v>
      </c>
      <c r="D51" s="3" t="inlineStr">
        <is>
          <t>TN</t>
        </is>
      </c>
      <c r="E51" s="3" t="inlineStr">
        <is>
          <t>LKR</t>
        </is>
      </c>
      <c r="F51" s="4" t="n">
        <v>-200</v>
      </c>
      <c r="G51" s="3" t="inlineStr">
        <is>
          <t>USD</t>
        </is>
      </c>
      <c r="H51" s="4" t="n">
        <v>-1.07</v>
      </c>
      <c r="I51" s="5" t="inlineStr">
        <is>
          <t>SCREUP SEULE . .</t>
        </is>
      </c>
      <c r="J51" s="3">
        <f>IF(C51="","",TODAY()-C51)</f>
        <v/>
      </c>
    </row>
    <row r="52">
      <c r="A52" s="5" t="inlineStr">
        <is>
          <t>XT0150</t>
        </is>
      </c>
      <c r="B52" s="3" t="inlineStr">
        <is>
          <t>63020001</t>
        </is>
      </c>
      <c r="C52" s="6" t="n">
        <v>44049</v>
      </c>
      <c r="D52" s="3" t="inlineStr">
        <is>
          <t>TN</t>
        </is>
      </c>
      <c r="E52" s="3" t="inlineStr">
        <is>
          <t>LKR</t>
        </is>
      </c>
      <c r="F52" s="4" t="n">
        <v>-890</v>
      </c>
      <c r="G52" s="3" t="inlineStr">
        <is>
          <t>USD</t>
        </is>
      </c>
      <c r="H52" s="4" t="n">
        <v>-4.78</v>
      </c>
      <c r="I52" s="5" t="inlineStr">
        <is>
          <t>SETTLEMENT DFFERENCE . .</t>
        </is>
      </c>
      <c r="J52" s="3">
        <f>IF(C52="","",TODAY()-C52)</f>
        <v/>
      </c>
    </row>
    <row r="53">
      <c r="A53" s="5" t="inlineStr">
        <is>
          <t>XT0151</t>
        </is>
      </c>
      <c r="B53" s="3" t="inlineStr">
        <is>
          <t>63020001</t>
        </is>
      </c>
      <c r="C53" s="6" t="n">
        <v>44110</v>
      </c>
      <c r="D53" s="3" t="inlineStr">
        <is>
          <t>PZ</t>
        </is>
      </c>
      <c r="E53" s="3" t="inlineStr">
        <is>
          <t>LKR</t>
        </is>
      </c>
      <c r="F53" s="4" t="n">
        <v>200</v>
      </c>
      <c r="G53" s="3" t="inlineStr">
        <is>
          <t>USD</t>
        </is>
      </c>
      <c r="H53" s="4" t="n">
        <v>1.07</v>
      </c>
      <c r="I53" s="5" t="inlineStr">
        <is>
          <t>ScrEUp sEUle</t>
        </is>
      </c>
      <c r="J53" s="3">
        <f>IF(C53="","",TODAY()-C53)</f>
        <v/>
      </c>
    </row>
    <row r="54">
      <c r="A54" s="5" t="inlineStr">
        <is>
          <t>XT0151</t>
        </is>
      </c>
      <c r="B54" s="3" t="inlineStr">
        <is>
          <t>63020001</t>
        </is>
      </c>
      <c r="C54" s="6" t="n">
        <v>44171</v>
      </c>
      <c r="D54" s="3" t="inlineStr">
        <is>
          <t>PZ</t>
        </is>
      </c>
      <c r="E54" s="3" t="inlineStr">
        <is>
          <t>LKR</t>
        </is>
      </c>
      <c r="F54" s="4" t="n">
        <v>200</v>
      </c>
      <c r="G54" s="3" t="inlineStr">
        <is>
          <t>USD</t>
        </is>
      </c>
      <c r="H54" s="4" t="n">
        <v>1.07</v>
      </c>
      <c r="I54" s="5" t="inlineStr">
        <is>
          <t>ScrEUp sEUle</t>
        </is>
      </c>
      <c r="J54" s="3">
        <f>IF(C54="","",TODAY()-C54)</f>
        <v/>
      </c>
    </row>
    <row r="55">
      <c r="A55" s="5" t="inlineStr">
        <is>
          <t>XT0150</t>
        </is>
      </c>
      <c r="B55" s="3" t="inlineStr">
        <is>
          <t>63020001</t>
        </is>
      </c>
      <c r="C55" s="6" t="n">
        <v>44049</v>
      </c>
      <c r="D55" s="3" t="inlineStr">
        <is>
          <t>TN</t>
        </is>
      </c>
      <c r="E55" s="3" t="inlineStr">
        <is>
          <t>LKR</t>
        </is>
      </c>
      <c r="F55" s="4" t="n">
        <v>-189545</v>
      </c>
      <c r="G55" s="3" t="inlineStr">
        <is>
          <t>USD</t>
        </is>
      </c>
      <c r="H55" s="4" t="n">
        <v>-1017.91</v>
      </c>
      <c r="I55" s="5" t="inlineStr">
        <is>
          <t>CEUFEUTEREU BPL 01 . .</t>
        </is>
      </c>
      <c r="J55" s="3">
        <f>IF(C55="","",TODAY()-C55)</f>
        <v/>
      </c>
    </row>
    <row r="56">
      <c r="A56" s="5" t="inlineStr">
        <is>
          <t>XT0150</t>
        </is>
      </c>
      <c r="B56" s="3" t="inlineStr">
        <is>
          <t>63020001</t>
        </is>
      </c>
      <c r="C56" s="6" t="n">
        <v>44049</v>
      </c>
      <c r="D56" s="3" t="inlineStr">
        <is>
          <t>TN</t>
        </is>
      </c>
      <c r="E56" s="3" t="inlineStr">
        <is>
          <t>LKR</t>
        </is>
      </c>
      <c r="F56" s="4" t="n">
        <v>-143736</v>
      </c>
      <c r="G56" s="3" t="inlineStr">
        <is>
          <t>USD</t>
        </is>
      </c>
      <c r="H56" s="4" t="n">
        <v>-771.9</v>
      </c>
      <c r="I56" s="5" t="inlineStr">
        <is>
          <t>CEUFEUTEREU BPL 01 . .</t>
        </is>
      </c>
      <c r="J56" s="3">
        <f>IF(C56="","",TODAY()-C56)</f>
        <v/>
      </c>
    </row>
    <row r="57">
      <c r="A57" s="5" t="inlineStr">
        <is>
          <t>XT0150</t>
        </is>
      </c>
      <c r="B57" s="3" t="inlineStr">
        <is>
          <t>63020001</t>
        </is>
      </c>
      <c r="C57" s="6" t="n">
        <v>44049</v>
      </c>
      <c r="D57" s="3" t="inlineStr">
        <is>
          <t>TN</t>
        </is>
      </c>
      <c r="E57" s="3" t="inlineStr">
        <is>
          <t>LKR</t>
        </is>
      </c>
      <c r="F57" s="4" t="n">
        <v>-116645</v>
      </c>
      <c r="G57" s="3" t="inlineStr">
        <is>
          <t>USD</t>
        </is>
      </c>
      <c r="H57" s="4" t="n">
        <v>-626.42</v>
      </c>
      <c r="I57" s="5" t="inlineStr">
        <is>
          <t>CEUFEUTEREU BPL 01 . .</t>
        </is>
      </c>
      <c r="J57" s="3">
        <f>IF(C57="","",TODAY()-C57)</f>
        <v/>
      </c>
    </row>
    <row r="58">
      <c r="A58" s="5" t="inlineStr">
        <is>
          <t>XT0150</t>
        </is>
      </c>
      <c r="B58" s="3" t="inlineStr">
        <is>
          <t>63020001</t>
        </is>
      </c>
      <c r="C58" s="6" t="n">
        <v>44049</v>
      </c>
      <c r="D58" s="3" t="inlineStr">
        <is>
          <t>TN</t>
        </is>
      </c>
      <c r="E58" s="3" t="inlineStr">
        <is>
          <t>LKR</t>
        </is>
      </c>
      <c r="F58" s="4" t="n">
        <v>-243810</v>
      </c>
      <c r="G58" s="3" t="inlineStr">
        <is>
          <t>USD</t>
        </is>
      </c>
      <c r="H58" s="4" t="n">
        <v>-1309.33</v>
      </c>
      <c r="I58" s="5" t="inlineStr">
        <is>
          <t>CEUFEUTEREU BPL 01 . .</t>
        </is>
      </c>
      <c r="J58" s="3">
        <f>IF(C58="","",TODAY()-C58)</f>
        <v/>
      </c>
    </row>
    <row r="59">
      <c r="A59" s="5" t="inlineStr">
        <is>
          <t>XT0150</t>
        </is>
      </c>
      <c r="B59" s="3" t="inlineStr">
        <is>
          <t>63020001</t>
        </is>
      </c>
      <c r="C59" s="6" t="n">
        <v>44049</v>
      </c>
      <c r="D59" s="3" t="inlineStr">
        <is>
          <t>TN</t>
        </is>
      </c>
      <c r="E59" s="3" t="inlineStr">
        <is>
          <t>LKR</t>
        </is>
      </c>
      <c r="F59" s="4" t="n">
        <v>-112275</v>
      </c>
      <c r="G59" s="3" t="inlineStr">
        <is>
          <t>USD</t>
        </is>
      </c>
      <c r="H59" s="4" t="n">
        <v>-602.95</v>
      </c>
      <c r="I59" s="5" t="inlineStr">
        <is>
          <t>CEUFEUTEREU BPL 01 . .</t>
        </is>
      </c>
      <c r="J59" s="3">
        <f>IF(C59="","",TODAY()-C59)</f>
        <v/>
      </c>
    </row>
    <row r="60">
      <c r="A60" s="5" t="inlineStr">
        <is>
          <t>XT0150</t>
        </is>
      </c>
      <c r="B60" s="3" t="inlineStr">
        <is>
          <t>63020001</t>
        </is>
      </c>
      <c r="C60" s="6" t="n">
        <v>44049</v>
      </c>
      <c r="D60" s="3" t="inlineStr">
        <is>
          <t>TN</t>
        </is>
      </c>
      <c r="E60" s="3" t="inlineStr">
        <is>
          <t>LKR</t>
        </is>
      </c>
      <c r="F60" s="4" t="n">
        <v>-178800</v>
      </c>
      <c r="G60" s="3" t="inlineStr">
        <is>
          <t>USD</t>
        </is>
      </c>
      <c r="H60" s="4" t="n">
        <v>-960.21</v>
      </c>
      <c r="I60" s="5" t="inlineStr">
        <is>
          <t>CEUFEUTEREU BPL01 . .</t>
        </is>
      </c>
      <c r="J60" s="3">
        <f>IF(C60="","",TODAY()-C60)</f>
        <v/>
      </c>
    </row>
    <row r="61">
      <c r="A61" s="5" t="inlineStr">
        <is>
          <t>XT0150</t>
        </is>
      </c>
      <c r="B61" s="3" t="inlineStr">
        <is>
          <t>63020001</t>
        </is>
      </c>
      <c r="C61" s="6" t="n">
        <v>44049</v>
      </c>
      <c r="D61" s="3" t="inlineStr">
        <is>
          <t>TN</t>
        </is>
      </c>
      <c r="E61" s="3" t="inlineStr">
        <is>
          <t>LKR</t>
        </is>
      </c>
      <c r="F61" s="4" t="n">
        <v>-5056</v>
      </c>
      <c r="G61" s="3" t="inlineStr">
        <is>
          <t>USD</t>
        </is>
      </c>
      <c r="H61" s="4" t="n">
        <v>-27.15</v>
      </c>
      <c r="I61" s="5" t="inlineStr">
        <is>
          <t>CEUSH DEPST</t>
        </is>
      </c>
      <c r="J61" s="3">
        <f>IF(C61="","",TODAY()-C61)</f>
        <v/>
      </c>
    </row>
    <row r="62">
      <c r="A62" s="5" t="inlineStr">
        <is>
          <t>XT0150</t>
        </is>
      </c>
      <c r="B62" s="3" t="inlineStr">
        <is>
          <t>63020001</t>
        </is>
      </c>
      <c r="C62" s="6" t="n">
        <v>44049</v>
      </c>
      <c r="D62" s="3" t="inlineStr">
        <is>
          <t>TN</t>
        </is>
      </c>
      <c r="E62" s="3" t="inlineStr">
        <is>
          <t>LKR</t>
        </is>
      </c>
      <c r="F62" s="4" t="n">
        <v>-40040</v>
      </c>
      <c r="G62" s="3" t="inlineStr">
        <is>
          <t>USD</t>
        </is>
      </c>
      <c r="H62" s="4" t="n">
        <v>-215.03</v>
      </c>
      <c r="I62" s="5" t="inlineStr">
        <is>
          <t>CEUSH DEPST</t>
        </is>
      </c>
      <c r="J62" s="3">
        <f>IF(C62="","",TODAY()-C62)</f>
        <v/>
      </c>
    </row>
    <row r="63">
      <c r="A63" s="5" t="inlineStr">
        <is>
          <t>XT0150</t>
        </is>
      </c>
      <c r="B63" s="3" t="inlineStr">
        <is>
          <t>63020001</t>
        </is>
      </c>
      <c r="C63" s="6" t="n">
        <v>44049</v>
      </c>
      <c r="D63" s="3" t="inlineStr">
        <is>
          <t>TN</t>
        </is>
      </c>
      <c r="E63" s="3" t="inlineStr">
        <is>
          <t>LKR</t>
        </is>
      </c>
      <c r="F63" s="4" t="n">
        <v>-2328</v>
      </c>
      <c r="G63" s="3" t="inlineStr">
        <is>
          <t>USD</t>
        </is>
      </c>
      <c r="H63" s="4" t="n">
        <v>-12.5</v>
      </c>
      <c r="I63" s="5" t="inlineStr">
        <is>
          <t>CEUSH DEPST</t>
        </is>
      </c>
      <c r="J63" s="3">
        <f>IF(C63="","",TODAY()-C63)</f>
        <v/>
      </c>
    </row>
    <row r="64">
      <c r="A64" s="5" t="inlineStr">
        <is>
          <t>UN0150</t>
        </is>
      </c>
      <c r="B64" s="3" t="inlineStr">
        <is>
          <t>63020001</t>
        </is>
      </c>
      <c r="C64" s="6" t="n">
        <v>44049</v>
      </c>
      <c r="D64" s="3" t="inlineStr">
        <is>
          <t>TN</t>
        </is>
      </c>
      <c r="E64" s="3" t="inlineStr">
        <is>
          <t>LKR</t>
        </is>
      </c>
      <c r="F64" s="4" t="n">
        <v>-76550</v>
      </c>
      <c r="G64" s="3" t="inlineStr">
        <is>
          <t>USD</t>
        </is>
      </c>
      <c r="H64" s="4" t="n">
        <v>-411.1</v>
      </c>
      <c r="I64" s="5" t="inlineStr">
        <is>
          <t>CEUSH DEPST</t>
        </is>
      </c>
      <c r="J64" s="3">
        <f>IF(C64="","",TODAY()-C64)</f>
        <v/>
      </c>
    </row>
    <row r="65">
      <c r="A65" s="5" t="inlineStr">
        <is>
          <t>UN0150</t>
        </is>
      </c>
      <c r="B65" s="3" t="inlineStr">
        <is>
          <t>63020001</t>
        </is>
      </c>
      <c r="C65" s="6" t="n">
        <v>44080</v>
      </c>
      <c r="D65" s="3" t="inlineStr">
        <is>
          <t>TN</t>
        </is>
      </c>
      <c r="E65" s="3" t="inlineStr">
        <is>
          <t>LKR</t>
        </is>
      </c>
      <c r="F65" s="4" t="n">
        <v>-49985</v>
      </c>
      <c r="G65" s="3" t="inlineStr">
        <is>
          <t>USD</t>
        </is>
      </c>
      <c r="H65" s="4" t="n">
        <v>-268.43</v>
      </c>
      <c r="I65" s="5" t="inlineStr">
        <is>
          <t>CEUSH DEPST</t>
        </is>
      </c>
      <c r="J65" s="3">
        <f>IF(C65="","",TODAY()-C65)</f>
        <v/>
      </c>
    </row>
    <row r="66">
      <c r="A66" s="5" t="inlineStr">
        <is>
          <t>UN0150</t>
        </is>
      </c>
      <c r="B66" s="3" t="inlineStr">
        <is>
          <t>63020001</t>
        </is>
      </c>
      <c r="C66" s="6" t="n">
        <v>44080</v>
      </c>
      <c r="D66" s="3" t="inlineStr">
        <is>
          <t>TN</t>
        </is>
      </c>
      <c r="E66" s="3" t="inlineStr">
        <is>
          <t>LKR</t>
        </is>
      </c>
      <c r="F66" s="4" t="n">
        <v>-900</v>
      </c>
      <c r="G66" s="3" t="inlineStr">
        <is>
          <t>USD</t>
        </is>
      </c>
      <c r="H66" s="4" t="n">
        <v>-4.83</v>
      </c>
      <c r="I66" s="5" t="inlineStr">
        <is>
          <t>CEUSH DEPST</t>
        </is>
      </c>
      <c r="J66" s="3">
        <f>IF(C66="","",TODAY()-C66)</f>
        <v/>
      </c>
    </row>
    <row r="67">
      <c r="A67" s="5" t="inlineStr">
        <is>
          <t>XT0150</t>
        </is>
      </c>
      <c r="B67" s="3" t="inlineStr">
        <is>
          <t>63020001</t>
        </is>
      </c>
      <c r="C67" s="6" t="n">
        <v>44049</v>
      </c>
      <c r="D67" s="3" t="inlineStr">
        <is>
          <t>TN</t>
        </is>
      </c>
      <c r="E67" s="3" t="inlineStr">
        <is>
          <t>LKR</t>
        </is>
      </c>
      <c r="F67" s="4" t="n">
        <v>-36081</v>
      </c>
      <c r="G67" s="3" t="inlineStr">
        <is>
          <t>USD</t>
        </is>
      </c>
      <c r="H67" s="4" t="n">
        <v>-193.77</v>
      </c>
      <c r="I67" s="5" t="inlineStr">
        <is>
          <t>chnthEUnEU 0170129204879204940618064048 CEFTS__627</t>
        </is>
      </c>
      <c r="J67" s="3">
        <f>IF(C67="","",TODAY()-C67)</f>
        <v/>
      </c>
    </row>
    <row r="68">
      <c r="A68" s="5" t="inlineStr">
        <is>
          <t>XT0150</t>
        </is>
      </c>
      <c r="B68" s="3" t="inlineStr">
        <is>
          <t>63020001</t>
        </is>
      </c>
      <c r="C68" s="6" t="n">
        <v>44049</v>
      </c>
      <c r="D68" s="3" t="inlineStr">
        <is>
          <t>TN</t>
        </is>
      </c>
      <c r="E68" s="3" t="inlineStr">
        <is>
          <t>LKR</t>
        </is>
      </c>
      <c r="F68" s="4" t="n">
        <v>-32050</v>
      </c>
      <c r="G68" s="3" t="inlineStr">
        <is>
          <t>USD</t>
        </is>
      </c>
      <c r="H68" s="4" t="n">
        <v>-172.12</v>
      </c>
      <c r="I68" s="5" t="n">
        <v/>
      </c>
      <c r="J68" s="3">
        <f>IF(C68="","",TODAY()-C68)</f>
        <v/>
      </c>
    </row>
    <row r="69">
      <c r="A69" s="5" t="inlineStr">
        <is>
          <t>XT0150</t>
        </is>
      </c>
      <c r="B69" s="3" t="inlineStr">
        <is>
          <t>63020001</t>
        </is>
      </c>
      <c r="C69" s="6" t="n">
        <v>44049</v>
      </c>
      <c r="D69" s="3" t="inlineStr">
        <is>
          <t>TN</t>
        </is>
      </c>
      <c r="E69" s="3" t="inlineStr">
        <is>
          <t>LKR</t>
        </is>
      </c>
      <c r="F69" s="4" t="n">
        <v>-10200</v>
      </c>
      <c r="G69" s="3" t="inlineStr">
        <is>
          <t>USD</t>
        </is>
      </c>
      <c r="H69" s="4" t="n">
        <v>-54.78</v>
      </c>
      <c r="I69" s="5" t="n">
        <v/>
      </c>
      <c r="J69" s="3">
        <f>IF(C69="","",TODAY()-C69)</f>
        <v/>
      </c>
    </row>
    <row r="70">
      <c r="A70" s="5" t="inlineStr">
        <is>
          <t>XT0150</t>
        </is>
      </c>
      <c r="B70" s="3" t="inlineStr">
        <is>
          <t>63020001</t>
        </is>
      </c>
      <c r="C70" s="6" t="n">
        <v>44049</v>
      </c>
      <c r="D70" s="3" t="inlineStr">
        <is>
          <t>TN</t>
        </is>
      </c>
      <c r="E70" s="3" t="inlineStr">
        <is>
          <t>LKR</t>
        </is>
      </c>
      <c r="F70" s="4" t="n">
        <v>-21200</v>
      </c>
      <c r="G70" s="3" t="inlineStr">
        <is>
          <t>USD</t>
        </is>
      </c>
      <c r="H70" s="4" t="n">
        <v>-113.85</v>
      </c>
      <c r="I70" s="5" t="n">
        <v/>
      </c>
      <c r="J70" s="3">
        <f>IF(C70="","",TODAY()-C70)</f>
        <v/>
      </c>
    </row>
    <row r="71">
      <c r="A71" s="5" t="inlineStr">
        <is>
          <t>XT0150</t>
        </is>
      </c>
      <c r="B71" s="3" t="inlineStr">
        <is>
          <t>63020001</t>
        </is>
      </c>
      <c r="C71" s="6" t="n">
        <v>44049</v>
      </c>
      <c r="D71" s="3" t="inlineStr">
        <is>
          <t>TN</t>
        </is>
      </c>
      <c r="E71" s="3" t="inlineStr">
        <is>
          <t>LKR</t>
        </is>
      </c>
      <c r="F71" s="4" t="n">
        <v>-13200</v>
      </c>
      <c r="G71" s="3" t="inlineStr">
        <is>
          <t>USD</t>
        </is>
      </c>
      <c r="H71" s="4" t="n">
        <v>-70.89</v>
      </c>
      <c r="I71" s="5" t="n">
        <v/>
      </c>
      <c r="J71" s="3">
        <f>IF(C71="","",TODAY()-C71)</f>
        <v/>
      </c>
    </row>
    <row r="72">
      <c r="A72" s="5" t="inlineStr">
        <is>
          <t>XT0150</t>
        </is>
      </c>
      <c r="B72" s="3" t="inlineStr">
        <is>
          <t>63020001</t>
        </is>
      </c>
      <c r="C72" s="6" t="n">
        <v>44049</v>
      </c>
      <c r="D72" s="3" t="inlineStr">
        <is>
          <t>TN</t>
        </is>
      </c>
      <c r="E72" s="3" t="inlineStr">
        <is>
          <t>LKR</t>
        </is>
      </c>
      <c r="F72" s="4" t="n">
        <v>-8800</v>
      </c>
      <c r="G72" s="3" t="inlineStr">
        <is>
          <t>USD</t>
        </is>
      </c>
      <c r="H72" s="4" t="n">
        <v>-47.26</v>
      </c>
      <c r="I72" s="5" t="n">
        <v/>
      </c>
      <c r="J72" s="3">
        <f>IF(C72="","",TODAY()-C72)</f>
        <v/>
      </c>
    </row>
    <row r="73">
      <c r="A73" s="5" t="inlineStr">
        <is>
          <t>XT0150</t>
        </is>
      </c>
      <c r="B73" s="3" t="inlineStr">
        <is>
          <t>63020001</t>
        </is>
      </c>
      <c r="C73" s="6" t="n">
        <v>44049</v>
      </c>
      <c r="D73" s="3" t="inlineStr">
        <is>
          <t>TN</t>
        </is>
      </c>
      <c r="E73" s="3" t="inlineStr">
        <is>
          <t>LKR</t>
        </is>
      </c>
      <c r="F73" s="4" t="n">
        <v>-21400</v>
      </c>
      <c r="G73" s="3" t="inlineStr">
        <is>
          <t>USD</t>
        </is>
      </c>
      <c r="H73" s="4" t="n">
        <v>-114.92</v>
      </c>
      <c r="I73" s="5" t="n">
        <v/>
      </c>
      <c r="J73" s="3">
        <f>IF(C73="","",TODAY()-C73)</f>
        <v/>
      </c>
    </row>
    <row r="74">
      <c r="A74" s="5" t="inlineStr">
        <is>
          <t>XT0150</t>
        </is>
      </c>
      <c r="B74" s="3" t="inlineStr">
        <is>
          <t>63020001</t>
        </is>
      </c>
      <c r="C74" s="6" t="n">
        <v>44049</v>
      </c>
      <c r="D74" s="3" t="inlineStr">
        <is>
          <t>TN</t>
        </is>
      </c>
      <c r="E74" s="3" t="inlineStr">
        <is>
          <t>LKR</t>
        </is>
      </c>
      <c r="F74" s="4" t="n">
        <v>-77862</v>
      </c>
      <c r="G74" s="3" t="inlineStr">
        <is>
          <t>USD</t>
        </is>
      </c>
      <c r="H74" s="4" t="n">
        <v>-418.14</v>
      </c>
      <c r="I74" s="5" t="n">
        <v/>
      </c>
      <c r="J74" s="3">
        <f>IF(C74="","",TODAY()-C74)</f>
        <v/>
      </c>
    </row>
    <row r="75">
      <c r="A75" s="5" t="inlineStr">
        <is>
          <t>XT0150</t>
        </is>
      </c>
      <c r="B75" s="3" t="inlineStr">
        <is>
          <t>63020001</t>
        </is>
      </c>
      <c r="C75" s="6" t="n">
        <v>44049</v>
      </c>
      <c r="D75" s="3" t="inlineStr">
        <is>
          <t>TN</t>
        </is>
      </c>
      <c r="E75" s="3" t="inlineStr">
        <is>
          <t>LKR</t>
        </is>
      </c>
      <c r="F75" s="4" t="n">
        <v>-200</v>
      </c>
      <c r="G75" s="3" t="inlineStr">
        <is>
          <t>USD</t>
        </is>
      </c>
      <c r="H75" s="4" t="n">
        <v>-1.07</v>
      </c>
      <c r="I75" s="5" t="inlineStr">
        <is>
          <t>SCREUP SEULE . .</t>
        </is>
      </c>
      <c r="J75" s="3">
        <f>IF(C75="","",TODAY()-C75)</f>
        <v/>
      </c>
    </row>
    <row r="76">
      <c r="A76" s="5" t="inlineStr">
        <is>
          <t>UN0150</t>
        </is>
      </c>
      <c r="B76" s="3" t="inlineStr">
        <is>
          <t>63020001</t>
        </is>
      </c>
      <c r="C76" s="6" t="n">
        <v>43867</v>
      </c>
      <c r="D76" s="3" t="inlineStr">
        <is>
          <t>TN</t>
        </is>
      </c>
      <c r="E76" s="3" t="inlineStr">
        <is>
          <t>LKR</t>
        </is>
      </c>
      <c r="F76" s="4" t="n">
        <v>-221754</v>
      </c>
      <c r="G76" s="3" t="inlineStr">
        <is>
          <t>USD</t>
        </is>
      </c>
      <c r="H76" s="4" t="n">
        <v>-1190.88</v>
      </c>
      <c r="I76" s="5" t="inlineStr">
        <is>
          <t>TFR FM 0075171640</t>
        </is>
      </c>
      <c r="J76" s="3">
        <f>IF(C76="","",TODAY()-C76)</f>
        <v/>
      </c>
    </row>
    <row r="77">
      <c r="A77" s="5" t="inlineStr">
        <is>
          <t>UN0150</t>
        </is>
      </c>
      <c r="B77" s="3" t="inlineStr">
        <is>
          <t>63020001</t>
        </is>
      </c>
      <c r="C77" s="6" t="n">
        <v>43896</v>
      </c>
      <c r="D77" s="3" t="inlineStr">
        <is>
          <t>TN</t>
        </is>
      </c>
      <c r="E77" s="3" t="inlineStr">
        <is>
          <t>LKR</t>
        </is>
      </c>
      <c r="F77" s="4" t="n">
        <v>-1500</v>
      </c>
      <c r="G77" s="3" t="inlineStr">
        <is>
          <t>USD</t>
        </is>
      </c>
      <c r="H77" s="4" t="n">
        <v>-8.06</v>
      </c>
      <c r="I77" s="5" t="inlineStr">
        <is>
          <t>TFR FM 0075171640</t>
        </is>
      </c>
      <c r="J77" s="3">
        <f>IF(C77="","",TODAY()-C77)</f>
        <v/>
      </c>
    </row>
    <row r="78">
      <c r="A78" s="5" t="inlineStr">
        <is>
          <t>UN0150</t>
        </is>
      </c>
      <c r="B78" s="3" t="inlineStr">
        <is>
          <t>63020001</t>
        </is>
      </c>
      <c r="C78" s="6" t="n">
        <v>44049</v>
      </c>
      <c r="D78" s="3" t="inlineStr">
        <is>
          <t>TN</t>
        </is>
      </c>
      <c r="E78" s="3" t="inlineStr">
        <is>
          <t>LKR</t>
        </is>
      </c>
      <c r="F78" s="4" t="n">
        <v>-243493</v>
      </c>
      <c r="G78" s="3" t="inlineStr">
        <is>
          <t>USD</t>
        </is>
      </c>
      <c r="H78" s="4" t="n">
        <v>-1307.63</v>
      </c>
      <c r="I78" s="5" t="inlineStr">
        <is>
          <t>TFR FM 0075171640</t>
        </is>
      </c>
      <c r="J78" s="3">
        <f>IF(C78="","",TODAY()-C78)</f>
        <v/>
      </c>
    </row>
    <row r="79">
      <c r="A79" s="5" t="inlineStr">
        <is>
          <t>UN0150</t>
        </is>
      </c>
      <c r="B79" s="3" t="inlineStr">
        <is>
          <t>63020001</t>
        </is>
      </c>
      <c r="C79" s="6" t="n">
        <v>44080</v>
      </c>
      <c r="D79" s="3" t="inlineStr">
        <is>
          <t>TN</t>
        </is>
      </c>
      <c r="E79" s="3" t="inlineStr">
        <is>
          <t>LKR</t>
        </is>
      </c>
      <c r="F79" s="4" t="n">
        <v>-197830</v>
      </c>
      <c r="G79" s="3" t="inlineStr">
        <is>
          <t>USD</t>
        </is>
      </c>
      <c r="H79" s="4" t="n">
        <v>-1062.4</v>
      </c>
      <c r="I79" s="5" t="inlineStr">
        <is>
          <t>TFR FM 0075171640</t>
        </is>
      </c>
      <c r="J79" s="3">
        <f>IF(C79="","",TODAY()-C79)</f>
        <v/>
      </c>
    </row>
    <row r="80">
      <c r="A80" s="5" t="inlineStr">
        <is>
          <t>UN0150</t>
        </is>
      </c>
      <c r="B80" s="3" t="inlineStr">
        <is>
          <t>63020001</t>
        </is>
      </c>
      <c r="C80" s="6" t="n">
        <v>44110</v>
      </c>
      <c r="D80" s="3" t="inlineStr">
        <is>
          <t>TN</t>
        </is>
      </c>
      <c r="E80" s="3" t="inlineStr">
        <is>
          <t>LKR</t>
        </is>
      </c>
      <c r="F80" s="4" t="n">
        <v>-114014</v>
      </c>
      <c r="G80" s="3" t="inlineStr">
        <is>
          <t>USD</t>
        </is>
      </c>
      <c r="H80" s="4" t="n">
        <v>-612.29</v>
      </c>
      <c r="I80" s="5" t="inlineStr">
        <is>
          <t>TFR FM 0075171640</t>
        </is>
      </c>
      <c r="J80" s="3">
        <f>IF(C80="","",TODAY()-C80)</f>
        <v/>
      </c>
    </row>
    <row r="81">
      <c r="A81" s="5" t="inlineStr">
        <is>
          <t>UN0150</t>
        </is>
      </c>
      <c r="B81" s="3" t="inlineStr">
        <is>
          <t>63020001</t>
        </is>
      </c>
      <c r="C81" s="6" t="n">
        <v>44171</v>
      </c>
      <c r="D81" s="3" t="inlineStr">
        <is>
          <t>TN</t>
        </is>
      </c>
      <c r="E81" s="3" t="inlineStr">
        <is>
          <t>LKR</t>
        </is>
      </c>
      <c r="F81" s="4" t="n">
        <v>-425346</v>
      </c>
      <c r="G81" s="3" t="inlineStr">
        <is>
          <t>USD</t>
        </is>
      </c>
      <c r="H81" s="4" t="n">
        <v>-2284.23</v>
      </c>
      <c r="I81" s="5" t="inlineStr">
        <is>
          <t>TFR FM 0075171640</t>
        </is>
      </c>
      <c r="J81" s="3">
        <f>IF(C81="","",TODAY()-C81)</f>
        <v/>
      </c>
    </row>
    <row r="82">
      <c r="A82" s="5" t="inlineStr">
        <is>
          <t>UN0150</t>
        </is>
      </c>
      <c r="B82" s="3" t="inlineStr">
        <is>
          <t>63020001</t>
        </is>
      </c>
      <c r="C82" s="6" t="n">
        <v>44171</v>
      </c>
      <c r="D82" s="3" t="inlineStr">
        <is>
          <t>TN</t>
        </is>
      </c>
      <c r="E82" s="3" t="inlineStr">
        <is>
          <t>LKR</t>
        </is>
      </c>
      <c r="F82" s="4" t="n">
        <v>-200600</v>
      </c>
      <c r="G82" s="3" t="inlineStr">
        <is>
          <t>USD</t>
        </is>
      </c>
      <c r="H82" s="4" t="n">
        <v>-1077.28</v>
      </c>
      <c r="I82" s="5" t="inlineStr">
        <is>
          <t>TFR FM 0075171640</t>
        </is>
      </c>
      <c r="J82" s="3">
        <f>IF(C82="","",TODAY()-C82)</f>
        <v/>
      </c>
    </row>
    <row r="83">
      <c r="A83" s="5" t="inlineStr">
        <is>
          <t>UN0150</t>
        </is>
      </c>
      <c r="B83" s="3" t="inlineStr">
        <is>
          <t>63020001</t>
        </is>
      </c>
      <c r="C83" s="6" t="n">
        <v>44171</v>
      </c>
      <c r="D83" s="3" t="inlineStr">
        <is>
          <t>TN</t>
        </is>
      </c>
      <c r="E83" s="3" t="inlineStr">
        <is>
          <t>LKR</t>
        </is>
      </c>
      <c r="F83" s="4" t="n">
        <v>-1500</v>
      </c>
      <c r="G83" s="3" t="inlineStr">
        <is>
          <t>USD</t>
        </is>
      </c>
      <c r="H83" s="4" t="n">
        <v>-8.06</v>
      </c>
      <c r="I83" s="5" t="inlineStr">
        <is>
          <t>TFR FM 0075171640</t>
        </is>
      </c>
      <c r="J83" s="3">
        <f>IF(C83="","",TODAY()-C83)</f>
        <v/>
      </c>
    </row>
    <row r="84">
      <c r="A84" s="5" t="inlineStr">
        <is>
          <t>UN0151</t>
        </is>
      </c>
      <c r="B84" s="3" t="inlineStr">
        <is>
          <t>63020001</t>
        </is>
      </c>
      <c r="C84" s="6" t="n">
        <v>44049</v>
      </c>
      <c r="D84" s="3" t="inlineStr">
        <is>
          <t>TN</t>
        </is>
      </c>
      <c r="E84" s="3" t="inlineStr">
        <is>
          <t>LKR</t>
        </is>
      </c>
      <c r="F84" s="4" t="n">
        <v>900</v>
      </c>
      <c r="G84" s="3" t="inlineStr">
        <is>
          <t>USD</t>
        </is>
      </c>
      <c r="H84" s="4" t="n">
        <v>4.83</v>
      </c>
      <c r="I84" s="5" t="inlineStr">
        <is>
          <t>CEUsh depst - 08.06.20</t>
        </is>
      </c>
      <c r="J84" s="3">
        <f>IF(C84="","",TODAY()-C84)</f>
        <v/>
      </c>
    </row>
    <row r="85">
      <c r="A85" s="5" t="inlineStr">
        <is>
          <t>UN0151</t>
        </is>
      </c>
      <c r="B85" s="3" t="inlineStr">
        <is>
          <t>63020001</t>
        </is>
      </c>
      <c r="C85" s="6" t="n">
        <v>44049</v>
      </c>
      <c r="D85" s="3" t="inlineStr">
        <is>
          <t>TN</t>
        </is>
      </c>
      <c r="E85" s="3" t="inlineStr">
        <is>
          <t>LKR</t>
        </is>
      </c>
      <c r="F85" s="4" t="n">
        <v>76550</v>
      </c>
      <c r="G85" s="3" t="inlineStr">
        <is>
          <t>USD</t>
        </is>
      </c>
      <c r="H85" s="4" t="n">
        <v>411.1</v>
      </c>
      <c r="I85" s="5" t="inlineStr">
        <is>
          <t>CEUsh depst - 08.06.20</t>
        </is>
      </c>
      <c r="J85" s="3">
        <f>IF(C85="","",TODAY()-C85)</f>
        <v/>
      </c>
    </row>
    <row r="86">
      <c r="A86" s="5" t="inlineStr">
        <is>
          <t>UN0151</t>
        </is>
      </c>
      <c r="B86" s="3" t="inlineStr">
        <is>
          <t>63020001</t>
        </is>
      </c>
      <c r="C86" s="6" t="n">
        <v>44049</v>
      </c>
      <c r="D86" s="3" t="inlineStr">
        <is>
          <t>TN</t>
        </is>
      </c>
      <c r="E86" s="3" t="inlineStr">
        <is>
          <t>LKR</t>
        </is>
      </c>
      <c r="F86" s="4" t="n">
        <v>49985</v>
      </c>
      <c r="G86" s="3" t="inlineStr">
        <is>
          <t>USD</t>
        </is>
      </c>
      <c r="H86" s="4" t="n">
        <v>268.44</v>
      </c>
      <c r="I86" s="5" t="n">
        <v/>
      </c>
      <c r="J86" s="3">
        <f>IF(C86="","",TODAY()-C86)</f>
        <v/>
      </c>
    </row>
    <row r="87">
      <c r="A87" s="5" t="inlineStr">
        <is>
          <t>XT0150</t>
        </is>
      </c>
      <c r="B87" s="3" t="inlineStr">
        <is>
          <t>63020001</t>
        </is>
      </c>
      <c r="C87" s="6" t="n">
        <v>44049</v>
      </c>
      <c r="D87" s="3" t="inlineStr">
        <is>
          <t>TN</t>
        </is>
      </c>
      <c r="E87" s="3" t="inlineStr">
        <is>
          <t>LKR</t>
        </is>
      </c>
      <c r="F87" s="4" t="n">
        <v>-16985.75</v>
      </c>
      <c r="G87" s="3" t="inlineStr">
        <is>
          <t>USD</t>
        </is>
      </c>
      <c r="H87" s="4" t="n">
        <v>-91.22</v>
      </c>
      <c r="I87" s="5" t="inlineStr">
        <is>
          <t>986313028V . .</t>
        </is>
      </c>
      <c r="J87" s="3">
        <f>IF(C87="","",TODAY()-C87)</f>
        <v/>
      </c>
    </row>
    <row r="88">
      <c r="A88" s="5" t="inlineStr">
        <is>
          <t>XT0150</t>
        </is>
      </c>
      <c r="B88" s="3" t="inlineStr">
        <is>
          <t>63020001</t>
        </is>
      </c>
      <c r="C88" s="6" t="n">
        <v>44049</v>
      </c>
      <c r="D88" s="3" t="inlineStr">
        <is>
          <t>TN</t>
        </is>
      </c>
      <c r="E88" s="3" t="inlineStr">
        <is>
          <t>LKR</t>
        </is>
      </c>
      <c r="F88" s="4" t="n">
        <v>-145425</v>
      </c>
      <c r="G88" s="3" t="inlineStr">
        <is>
          <t>USD</t>
        </is>
      </c>
      <c r="H88" s="4" t="n">
        <v>-780.97</v>
      </c>
      <c r="I88" s="5" t="inlineStr">
        <is>
          <t>CEUFEUTEREU BP L01 . .</t>
        </is>
      </c>
      <c r="J88" s="3">
        <f>IF(C88="","",TODAY()-C88)</f>
        <v/>
      </c>
    </row>
    <row r="89">
      <c r="A89" s="5" t="inlineStr">
        <is>
          <t>XT0150</t>
        </is>
      </c>
      <c r="B89" s="3" t="inlineStr">
        <is>
          <t>63020001</t>
        </is>
      </c>
      <c r="C89" s="6" t="n">
        <v>44049</v>
      </c>
      <c r="D89" s="3" t="inlineStr">
        <is>
          <t>TN</t>
        </is>
      </c>
      <c r="E89" s="3" t="inlineStr">
        <is>
          <t>LKR</t>
        </is>
      </c>
      <c r="F89" s="4" t="n">
        <v>-1080</v>
      </c>
      <c r="G89" s="3" t="inlineStr">
        <is>
          <t>USD</t>
        </is>
      </c>
      <c r="H89" s="4" t="n">
        <v>-5.8</v>
      </c>
      <c r="I89" s="5" t="inlineStr">
        <is>
          <t>CEUFEUTEREU BPL 01 . .</t>
        </is>
      </c>
      <c r="J89" s="3">
        <f>IF(C89="","",TODAY()-C89)</f>
        <v/>
      </c>
    </row>
    <row r="90">
      <c r="A90" s="5" t="inlineStr">
        <is>
          <t>XT0150</t>
        </is>
      </c>
      <c r="B90" s="3" t="inlineStr">
        <is>
          <t>63020001</t>
        </is>
      </c>
      <c r="C90" s="6" t="n">
        <v>44049</v>
      </c>
      <c r="D90" s="3" t="inlineStr">
        <is>
          <t>TN</t>
        </is>
      </c>
      <c r="E90" s="3" t="inlineStr">
        <is>
          <t>LKR</t>
        </is>
      </c>
      <c r="F90" s="4" t="n">
        <v>-107285</v>
      </c>
      <c r="G90" s="3" t="inlineStr">
        <is>
          <t>USD</t>
        </is>
      </c>
      <c r="H90" s="4" t="n">
        <v>-576.15</v>
      </c>
      <c r="I90" s="5" t="inlineStr">
        <is>
          <t>CEUFEUTEREU BPL01 . .</t>
        </is>
      </c>
      <c r="J90" s="3">
        <f>IF(C90="","",TODAY()-C90)</f>
        <v/>
      </c>
    </row>
    <row r="91">
      <c r="A91" s="5" t="inlineStr">
        <is>
          <t>XT0150</t>
        </is>
      </c>
      <c r="B91" s="3" t="inlineStr">
        <is>
          <t>63020001</t>
        </is>
      </c>
      <c r="C91" s="6" t="n">
        <v>44049</v>
      </c>
      <c r="D91" s="3" t="inlineStr">
        <is>
          <t>TN</t>
        </is>
      </c>
      <c r="E91" s="3" t="inlineStr">
        <is>
          <t>LKR</t>
        </is>
      </c>
      <c r="F91" s="4" t="n">
        <v>-98170</v>
      </c>
      <c r="G91" s="3" t="inlineStr">
        <is>
          <t>USD</t>
        </is>
      </c>
      <c r="H91" s="4" t="n">
        <v>-527.2</v>
      </c>
      <c r="I91" s="5" t="inlineStr">
        <is>
          <t>CEUFEUTEREU BPL01 . .</t>
        </is>
      </c>
      <c r="J91" s="3">
        <f>IF(C91="","",TODAY()-C91)</f>
        <v/>
      </c>
    </row>
    <row r="92">
      <c r="A92" s="5" t="inlineStr">
        <is>
          <t>XT0150</t>
        </is>
      </c>
      <c r="B92" s="3" t="inlineStr">
        <is>
          <t>63020001</t>
        </is>
      </c>
      <c r="C92" s="6" t="n">
        <v>44049</v>
      </c>
      <c r="D92" s="3" t="inlineStr">
        <is>
          <t>TN</t>
        </is>
      </c>
      <c r="E92" s="3" t="inlineStr">
        <is>
          <t>LKR</t>
        </is>
      </c>
      <c r="F92" s="4" t="n">
        <v>-171430</v>
      </c>
      <c r="G92" s="3" t="inlineStr">
        <is>
          <t>USD</t>
        </is>
      </c>
      <c r="H92" s="4" t="n">
        <v>-920.63</v>
      </c>
      <c r="I92" s="5" t="inlineStr">
        <is>
          <t>CEUFEUTEREU BPL01 . .</t>
        </is>
      </c>
      <c r="J92" s="3">
        <f>IF(C92="","",TODAY()-C92)</f>
        <v/>
      </c>
    </row>
    <row r="93">
      <c r="A93" s="5" t="inlineStr">
        <is>
          <t>XT0150</t>
        </is>
      </c>
      <c r="B93" s="3" t="inlineStr">
        <is>
          <t>63020001</t>
        </is>
      </c>
      <c r="C93" s="6" t="n">
        <v>44049</v>
      </c>
      <c r="D93" s="3" t="inlineStr">
        <is>
          <t>TN</t>
        </is>
      </c>
      <c r="E93" s="3" t="inlineStr">
        <is>
          <t>LKR</t>
        </is>
      </c>
      <c r="F93" s="4" t="n">
        <v>-380</v>
      </c>
      <c r="G93" s="3" t="inlineStr">
        <is>
          <t>USD</t>
        </is>
      </c>
      <c r="H93" s="4" t="n">
        <v>-2.04</v>
      </c>
      <c r="I93" s="5" t="inlineStr">
        <is>
          <t>CEUSH DEPST</t>
        </is>
      </c>
      <c r="J93" s="3">
        <f>IF(C93="","",TODAY()-C93)</f>
        <v/>
      </c>
    </row>
    <row r="94">
      <c r="A94" s="5" t="inlineStr">
        <is>
          <t>XT0150</t>
        </is>
      </c>
      <c r="B94" s="3" t="inlineStr">
        <is>
          <t>63020001</t>
        </is>
      </c>
      <c r="C94" s="6" t="n">
        <v>44049</v>
      </c>
      <c r="D94" s="3" t="inlineStr">
        <is>
          <t>TN</t>
        </is>
      </c>
      <c r="E94" s="3" t="inlineStr">
        <is>
          <t>LKR</t>
        </is>
      </c>
      <c r="F94" s="4" t="n">
        <v>-11245</v>
      </c>
      <c r="G94" s="3" t="inlineStr">
        <is>
          <t>USD</t>
        </is>
      </c>
      <c r="H94" s="4" t="n">
        <v>-60.39</v>
      </c>
      <c r="I94" s="5" t="inlineStr">
        <is>
          <t>CEUSH DEPST</t>
        </is>
      </c>
      <c r="J94" s="3">
        <f>IF(C94="","",TODAY()-C94)</f>
        <v/>
      </c>
    </row>
    <row r="95">
      <c r="A95" s="5" t="inlineStr">
        <is>
          <t>XT0150</t>
        </is>
      </c>
      <c r="B95" s="3" t="inlineStr">
        <is>
          <t>63020001</t>
        </is>
      </c>
      <c r="C95" s="6" t="n">
        <v>44049</v>
      </c>
      <c r="D95" s="3" t="inlineStr">
        <is>
          <t>TN</t>
        </is>
      </c>
      <c r="E95" s="3" t="inlineStr">
        <is>
          <t>LKR</t>
        </is>
      </c>
      <c r="F95" s="4" t="n">
        <v>-2200</v>
      </c>
      <c r="G95" s="3" t="inlineStr">
        <is>
          <t>USD</t>
        </is>
      </c>
      <c r="H95" s="4" t="n">
        <v>-11.81</v>
      </c>
      <c r="I95" s="5" t="inlineStr">
        <is>
          <t>CEUSH DEPST</t>
        </is>
      </c>
      <c r="J95" s="3">
        <f>IF(C95="","",TODAY()-C95)</f>
        <v/>
      </c>
    </row>
    <row r="96">
      <c r="A96" s="5" t="inlineStr">
        <is>
          <t>XT0150</t>
        </is>
      </c>
      <c r="B96" s="3" t="inlineStr">
        <is>
          <t>63020001</t>
        </is>
      </c>
      <c r="C96" s="6" t="n">
        <v>44049</v>
      </c>
      <c r="D96" s="3" t="inlineStr">
        <is>
          <t>TN</t>
        </is>
      </c>
      <c r="E96" s="3" t="inlineStr">
        <is>
          <t>LKR</t>
        </is>
      </c>
      <c r="F96" s="4" t="n">
        <v>-27900</v>
      </c>
      <c r="G96" s="3" t="inlineStr">
        <is>
          <t>USD</t>
        </is>
      </c>
      <c r="H96" s="4" t="n">
        <v>-149.83</v>
      </c>
      <c r="I96" s="5" t="n">
        <v/>
      </c>
      <c r="J96" s="3">
        <f>IF(C96="","",TODAY()-C96)</f>
        <v/>
      </c>
    </row>
    <row r="97">
      <c r="A97" s="5" t="inlineStr">
        <is>
          <t>XT0150</t>
        </is>
      </c>
      <c r="B97" s="3" t="inlineStr">
        <is>
          <t>63020001</t>
        </is>
      </c>
      <c r="C97" s="6" t="n">
        <v>44049</v>
      </c>
      <c r="D97" s="3" t="inlineStr">
        <is>
          <t>TN</t>
        </is>
      </c>
      <c r="E97" s="3" t="inlineStr">
        <is>
          <t>LKR</t>
        </is>
      </c>
      <c r="F97" s="4" t="n">
        <v>-27600</v>
      </c>
      <c r="G97" s="3" t="inlineStr">
        <is>
          <t>USD</t>
        </is>
      </c>
      <c r="H97" s="4" t="n">
        <v>-148.22</v>
      </c>
      <c r="I97" s="5" t="n">
        <v/>
      </c>
      <c r="J97" s="3">
        <f>IF(C97="","",TODAY()-C97)</f>
        <v/>
      </c>
    </row>
    <row r="98">
      <c r="A98" s="5" t="inlineStr">
        <is>
          <t>XT0150</t>
        </is>
      </c>
      <c r="B98" s="3" t="inlineStr">
        <is>
          <t>63020001</t>
        </is>
      </c>
      <c r="C98" s="6" t="n">
        <v>44049</v>
      </c>
      <c r="D98" s="3" t="inlineStr">
        <is>
          <t>TN</t>
        </is>
      </c>
      <c r="E98" s="3" t="inlineStr">
        <is>
          <t>LKR</t>
        </is>
      </c>
      <c r="F98" s="4" t="n">
        <v>-40000</v>
      </c>
      <c r="G98" s="3" t="inlineStr">
        <is>
          <t>USD</t>
        </is>
      </c>
      <c r="H98" s="4" t="n">
        <v>-214.81</v>
      </c>
      <c r="I98" s="5" t="n">
        <v/>
      </c>
      <c r="J98" s="3">
        <f>IF(C98="","",TODAY()-C98)</f>
        <v/>
      </c>
    </row>
    <row r="99">
      <c r="A99" s="5" t="inlineStr">
        <is>
          <t>XT0150</t>
        </is>
      </c>
      <c r="B99" s="3" t="inlineStr">
        <is>
          <t>63020001</t>
        </is>
      </c>
      <c r="C99" s="6" t="n">
        <v>44049</v>
      </c>
      <c r="D99" s="3" t="inlineStr">
        <is>
          <t>TN</t>
        </is>
      </c>
      <c r="E99" s="3" t="inlineStr">
        <is>
          <t>LKR</t>
        </is>
      </c>
      <c r="F99" s="4" t="n">
        <v>-50</v>
      </c>
      <c r="G99" s="3" t="inlineStr">
        <is>
          <t>USD</t>
        </is>
      </c>
      <c r="H99" s="4" t="n">
        <v>-0.27</v>
      </c>
      <c r="I99" s="5" t="inlineStr">
        <is>
          <t>BEUNNER . .</t>
        </is>
      </c>
      <c r="J99" s="3">
        <f>IF(C99="","",TODAY()-C99)</f>
        <v/>
      </c>
    </row>
    <row r="100">
      <c r="A100" s="5" t="inlineStr">
        <is>
          <t>XT0150</t>
        </is>
      </c>
      <c r="B100" s="3" t="inlineStr">
        <is>
          <t>63020001</t>
        </is>
      </c>
      <c r="C100" s="6" t="n">
        <v>44049</v>
      </c>
      <c r="D100" s="3" t="inlineStr">
        <is>
          <t>TN</t>
        </is>
      </c>
      <c r="E100" s="3" t="inlineStr">
        <is>
          <t>LKR</t>
        </is>
      </c>
      <c r="F100" s="4" t="n">
        <v>-94305</v>
      </c>
      <c r="G100" s="3" t="inlineStr">
        <is>
          <t>USD</t>
        </is>
      </c>
      <c r="H100" s="4" t="n">
        <v>-506.44</v>
      </c>
      <c r="I100" s="5" t="inlineStr">
        <is>
          <t>CEUFEUTEREU BPL 01 . .</t>
        </is>
      </c>
      <c r="J100" s="3">
        <f>IF(C100="","",TODAY()-C100)</f>
        <v/>
      </c>
    </row>
    <row r="101">
      <c r="A101" s="5" t="inlineStr">
        <is>
          <t>XT0150</t>
        </is>
      </c>
      <c r="B101" s="3" t="inlineStr">
        <is>
          <t>63020001</t>
        </is>
      </c>
      <c r="C101" s="6" t="n">
        <v>44049</v>
      </c>
      <c r="D101" s="3" t="inlineStr">
        <is>
          <t>TN</t>
        </is>
      </c>
      <c r="E101" s="3" t="inlineStr">
        <is>
          <t>LKR</t>
        </is>
      </c>
      <c r="F101" s="4" t="n">
        <v>-99948</v>
      </c>
      <c r="G101" s="3" t="inlineStr">
        <is>
          <t>USD</t>
        </is>
      </c>
      <c r="H101" s="4" t="n">
        <v>-536.75</v>
      </c>
      <c r="I101" s="5" t="inlineStr">
        <is>
          <t>CEUFEUTEREU BPL01 . .</t>
        </is>
      </c>
      <c r="J101" s="3">
        <f>IF(C101="","",TODAY()-C101)</f>
        <v/>
      </c>
    </row>
    <row r="102">
      <c r="A102" s="5" t="inlineStr">
        <is>
          <t>XT0150</t>
        </is>
      </c>
      <c r="B102" s="3" t="inlineStr">
        <is>
          <t>63020001</t>
        </is>
      </c>
      <c r="C102" s="6" t="n">
        <v>44049</v>
      </c>
      <c r="D102" s="3" t="inlineStr">
        <is>
          <t>TN</t>
        </is>
      </c>
      <c r="E102" s="3" t="inlineStr">
        <is>
          <t>LKR</t>
        </is>
      </c>
      <c r="F102" s="4" t="n">
        <v>-844</v>
      </c>
      <c r="G102" s="3" t="inlineStr">
        <is>
          <t>USD</t>
        </is>
      </c>
      <c r="H102" s="4" t="n">
        <v>-4.53</v>
      </c>
      <c r="I102" s="5" t="inlineStr">
        <is>
          <t>cEUsh EUdvEUnce settlement . .</t>
        </is>
      </c>
      <c r="J102" s="3">
        <f>IF(C102="","",TODAY()-C102)</f>
        <v/>
      </c>
    </row>
    <row r="103">
      <c r="A103" s="5" t="inlineStr">
        <is>
          <t>XT0150</t>
        </is>
      </c>
      <c r="B103" s="3" t="inlineStr">
        <is>
          <t>63020001</t>
        </is>
      </c>
      <c r="C103" s="6" t="n">
        <v>44049</v>
      </c>
      <c r="D103" s="3" t="inlineStr">
        <is>
          <t>TN</t>
        </is>
      </c>
      <c r="E103" s="3" t="inlineStr">
        <is>
          <t>LKR</t>
        </is>
      </c>
      <c r="F103" s="4" t="n">
        <v>-15550</v>
      </c>
      <c r="G103" s="3" t="inlineStr">
        <is>
          <t>USD</t>
        </is>
      </c>
      <c r="H103" s="4" t="n">
        <v>-83.51000000000001</v>
      </c>
      <c r="I103" s="5" t="inlineStr">
        <is>
          <t>CEUSH DEPST</t>
        </is>
      </c>
      <c r="J103" s="3">
        <f>IF(C103="","",TODAY()-C103)</f>
        <v/>
      </c>
    </row>
    <row r="104">
      <c r="A104" s="5" t="inlineStr">
        <is>
          <t>XT0150</t>
        </is>
      </c>
      <c r="B104" s="3" t="inlineStr">
        <is>
          <t>63020001</t>
        </is>
      </c>
      <c r="C104" s="6" t="n">
        <v>44049</v>
      </c>
      <c r="D104" s="3" t="inlineStr">
        <is>
          <t>TN</t>
        </is>
      </c>
      <c r="E104" s="3" t="inlineStr">
        <is>
          <t>LKR</t>
        </is>
      </c>
      <c r="F104" s="4" t="n">
        <v>-1260</v>
      </c>
      <c r="G104" s="3" t="inlineStr">
        <is>
          <t>USD</t>
        </is>
      </c>
      <c r="H104" s="4" t="n">
        <v>-6.77</v>
      </c>
      <c r="I104" s="5" t="inlineStr">
        <is>
          <t>CEUSH DEPST</t>
        </is>
      </c>
      <c r="J104" s="3">
        <f>IF(C104="","",TODAY()-C104)</f>
        <v/>
      </c>
    </row>
    <row r="105">
      <c r="A105" s="5" t="inlineStr">
        <is>
          <t>XT0150</t>
        </is>
      </c>
      <c r="B105" s="3" t="inlineStr">
        <is>
          <t>63020001</t>
        </is>
      </c>
      <c r="C105" s="6" t="n">
        <v>44049</v>
      </c>
      <c r="D105" s="3" t="inlineStr">
        <is>
          <t>TN</t>
        </is>
      </c>
      <c r="E105" s="3" t="inlineStr">
        <is>
          <t>LKR</t>
        </is>
      </c>
      <c r="F105" s="4" t="n">
        <v>-102816</v>
      </c>
      <c r="G105" s="3" t="inlineStr">
        <is>
          <t>USD</t>
        </is>
      </c>
      <c r="H105" s="4" t="n">
        <v>-552.15</v>
      </c>
      <c r="I105" s="5" t="n">
        <v/>
      </c>
      <c r="J105" s="3">
        <f>IF(C105="","",TODAY()-C105)</f>
        <v/>
      </c>
    </row>
    <row r="106">
      <c r="A106" s="5" t="inlineStr">
        <is>
          <t>UN0150</t>
        </is>
      </c>
      <c r="B106" s="3" t="inlineStr">
        <is>
          <t>63020001</t>
        </is>
      </c>
      <c r="C106" s="6" t="n">
        <v>44171</v>
      </c>
      <c r="D106" s="3" t="inlineStr">
        <is>
          <t>TN</t>
        </is>
      </c>
      <c r="E106" s="3" t="inlineStr">
        <is>
          <t>LKR</t>
        </is>
      </c>
      <c r="F106" s="4" t="n">
        <v>-25075</v>
      </c>
      <c r="G106" s="3" t="inlineStr">
        <is>
          <t>USD</t>
        </is>
      </c>
      <c r="H106" s="4" t="n">
        <v>-134.66</v>
      </c>
      <c r="I106" s="5" t="n">
        <v>898970</v>
      </c>
      <c r="J106" s="3">
        <f>IF(C106="","",TODAY()-C106)</f>
        <v/>
      </c>
    </row>
    <row r="107">
      <c r="A107" s="5" t="inlineStr">
        <is>
          <t>UN0150</t>
        </is>
      </c>
      <c r="B107" s="3" t="inlineStr">
        <is>
          <t>63020001</t>
        </is>
      </c>
      <c r="C107" s="6" t="n">
        <v>44171</v>
      </c>
      <c r="D107" s="3" t="inlineStr">
        <is>
          <t>TN</t>
        </is>
      </c>
      <c r="E107" s="3" t="inlineStr">
        <is>
          <t>LKR</t>
        </is>
      </c>
      <c r="F107" s="4" t="n">
        <v>-260000</v>
      </c>
      <c r="G107" s="3" t="inlineStr">
        <is>
          <t>USD</t>
        </is>
      </c>
      <c r="H107" s="4" t="n">
        <v>-1396.27</v>
      </c>
      <c r="I107" s="5" t="inlineStr">
        <is>
          <t>911063</t>
        </is>
      </c>
      <c r="J107" s="3">
        <f>IF(C107="","",TODAY()-C107)</f>
        <v/>
      </c>
    </row>
    <row r="108">
      <c r="A108" s="5" t="inlineStr">
        <is>
          <t>UN0150</t>
        </is>
      </c>
      <c r="B108" s="3" t="inlineStr">
        <is>
          <t>63020001</t>
        </is>
      </c>
      <c r="C108" s="6" t="n">
        <v>44171</v>
      </c>
      <c r="D108" s="3" t="inlineStr">
        <is>
          <t>TN</t>
        </is>
      </c>
      <c r="E108" s="3" t="inlineStr">
        <is>
          <t>LKR</t>
        </is>
      </c>
      <c r="F108" s="4" t="n">
        <v>-118674</v>
      </c>
      <c r="G108" s="3" t="inlineStr">
        <is>
          <t>USD</t>
        </is>
      </c>
      <c r="H108" s="4" t="n">
        <v>-637.3099999999999</v>
      </c>
      <c r="I108" s="5" t="inlineStr">
        <is>
          <t>CEUSH DEPST</t>
        </is>
      </c>
      <c r="J108" s="3">
        <f>IF(C108="","",TODAY()-C108)</f>
        <v/>
      </c>
    </row>
    <row r="109">
      <c r="A109" s="5" t="inlineStr">
        <is>
          <t>UN0150</t>
        </is>
      </c>
      <c r="B109" s="3" t="inlineStr">
        <is>
          <t>63020001</t>
        </is>
      </c>
      <c r="C109" s="6" t="n">
        <v>44171</v>
      </c>
      <c r="D109" s="3" t="inlineStr">
        <is>
          <t>TN</t>
        </is>
      </c>
      <c r="E109" s="3" t="inlineStr">
        <is>
          <t>LKR</t>
        </is>
      </c>
      <c r="F109" s="4" t="n">
        <v>-142449</v>
      </c>
      <c r="G109" s="3" t="inlineStr">
        <is>
          <t>USD</t>
        </is>
      </c>
      <c r="H109" s="4" t="n">
        <v>-764.99</v>
      </c>
      <c r="I109" s="5" t="inlineStr">
        <is>
          <t>CEUSH DEPST</t>
        </is>
      </c>
      <c r="J109" s="3">
        <f>IF(C109="","",TODAY()-C109)</f>
        <v/>
      </c>
    </row>
    <row r="110">
      <c r="A110" s="5" t="inlineStr">
        <is>
          <t>UN0150</t>
        </is>
      </c>
      <c r="B110" s="3" t="inlineStr">
        <is>
          <t>63020001</t>
        </is>
      </c>
      <c r="C110" s="6" t="n">
        <v>44171</v>
      </c>
      <c r="D110" s="3" t="inlineStr">
        <is>
          <t>TN</t>
        </is>
      </c>
      <c r="E110" s="3" t="inlineStr">
        <is>
          <t>LKR</t>
        </is>
      </c>
      <c r="F110" s="4" t="n">
        <v>-118674</v>
      </c>
      <c r="G110" s="3" t="inlineStr">
        <is>
          <t>USD</t>
        </is>
      </c>
      <c r="H110" s="4" t="n">
        <v>-637.3099999999999</v>
      </c>
      <c r="I110" s="5" t="inlineStr">
        <is>
          <t>CEUSH DEPST</t>
        </is>
      </c>
      <c r="J110" s="3">
        <f>IF(C110="","",TODAY()-C110)</f>
        <v/>
      </c>
    </row>
    <row r="111">
      <c r="A111" s="5" t="inlineStr">
        <is>
          <t>UN0150</t>
        </is>
      </c>
      <c r="B111" s="3" t="inlineStr">
        <is>
          <t>63020001</t>
        </is>
      </c>
      <c r="C111" s="6" t="n">
        <v>44171</v>
      </c>
      <c r="D111" s="3" t="inlineStr">
        <is>
          <t>TN</t>
        </is>
      </c>
      <c r="E111" s="3" t="inlineStr">
        <is>
          <t>LKR</t>
        </is>
      </c>
      <c r="F111" s="4" t="n">
        <v>-7498.4</v>
      </c>
      <c r="G111" s="3" t="inlineStr">
        <is>
          <t>USD</t>
        </is>
      </c>
      <c r="H111" s="4" t="n">
        <v>-40.27</v>
      </c>
      <c r="I111" s="5" t="inlineStr">
        <is>
          <t>NT FRM 0075171640</t>
        </is>
      </c>
      <c r="J111" s="3">
        <f>IF(C111="","",TODAY()-C111)</f>
        <v/>
      </c>
    </row>
    <row r="112">
      <c r="A112" s="5" t="inlineStr">
        <is>
          <t>UN0150</t>
        </is>
      </c>
      <c r="B112" s="3" t="inlineStr">
        <is>
          <t>63020001</t>
        </is>
      </c>
      <c r="C112" s="6" t="n">
        <v>44171</v>
      </c>
      <c r="D112" s="3" t="inlineStr">
        <is>
          <t>TN</t>
        </is>
      </c>
      <c r="E112" s="3" t="inlineStr">
        <is>
          <t>LKR</t>
        </is>
      </c>
      <c r="F112" s="4" t="n">
        <v>-368527.42</v>
      </c>
      <c r="G112" s="3" t="inlineStr">
        <is>
          <t>USD</t>
        </is>
      </c>
      <c r="H112" s="4" t="n">
        <v>-1979.1</v>
      </c>
      <c r="I112" s="5" t="inlineStr">
        <is>
          <t>TFR FM 0075171640</t>
        </is>
      </c>
      <c r="J112" s="3">
        <f>IF(C112="","",TODAY()-C112)</f>
        <v/>
      </c>
    </row>
    <row r="113">
      <c r="A113" s="5" t="inlineStr">
        <is>
          <t>UN0150</t>
        </is>
      </c>
      <c r="B113" s="3" t="inlineStr">
        <is>
          <t>63020001</t>
        </is>
      </c>
      <c r="C113" s="6" t="n">
        <v>44171</v>
      </c>
      <c r="D113" s="3" t="inlineStr">
        <is>
          <t>TN</t>
        </is>
      </c>
      <c r="E113" s="3" t="inlineStr">
        <is>
          <t>LKR</t>
        </is>
      </c>
      <c r="F113" s="4" t="n">
        <v>-200722</v>
      </c>
      <c r="G113" s="3" t="inlineStr">
        <is>
          <t>USD</t>
        </is>
      </c>
      <c r="H113" s="4" t="n">
        <v>-1077.93</v>
      </c>
      <c r="I113" s="5" t="inlineStr">
        <is>
          <t>TFR FM 0075171640</t>
        </is>
      </c>
      <c r="J113" s="3">
        <f>IF(C113="","",TODAY()-C113)</f>
        <v/>
      </c>
    </row>
    <row r="114">
      <c r="A114" s="5" t="inlineStr">
        <is>
          <t>UN0150</t>
        </is>
      </c>
      <c r="B114" s="3" t="inlineStr">
        <is>
          <t>63020001</t>
        </is>
      </c>
      <c r="C114" s="6" t="n">
        <v>44171</v>
      </c>
      <c r="D114" s="3" t="inlineStr">
        <is>
          <t>TN</t>
        </is>
      </c>
      <c r="E114" s="3" t="inlineStr">
        <is>
          <t>LKR</t>
        </is>
      </c>
      <c r="F114" s="4" t="n">
        <v>-1905431</v>
      </c>
      <c r="G114" s="3" t="inlineStr">
        <is>
          <t>USD</t>
        </is>
      </c>
      <c r="H114" s="4" t="n">
        <v>-10232.7</v>
      </c>
      <c r="I114" s="5" t="inlineStr">
        <is>
          <t>TFR FM 0075171640</t>
        </is>
      </c>
      <c r="J114" s="3">
        <f>IF(C114="","",TODAY()-C114)</f>
        <v/>
      </c>
    </row>
    <row r="115">
      <c r="A115" s="5" t="inlineStr">
        <is>
          <t>UN0150</t>
        </is>
      </c>
      <c r="B115" s="3" t="inlineStr">
        <is>
          <t>63020001</t>
        </is>
      </c>
      <c r="C115" s="6" t="n">
        <v>44171</v>
      </c>
      <c r="D115" s="3" t="inlineStr">
        <is>
          <t>TN</t>
        </is>
      </c>
      <c r="E115" s="3" t="inlineStr">
        <is>
          <t>LKR</t>
        </is>
      </c>
      <c r="F115" s="4" t="n">
        <v>-368527.42</v>
      </c>
      <c r="G115" s="3" t="inlineStr">
        <is>
          <t>USD</t>
        </is>
      </c>
      <c r="H115" s="4" t="n">
        <v>-1979.1</v>
      </c>
      <c r="I115" s="5" t="inlineStr">
        <is>
          <t>TFR FM 0075171640</t>
        </is>
      </c>
      <c r="J115" s="3">
        <f>IF(C115="","",TODAY()-C115)</f>
        <v/>
      </c>
    </row>
    <row r="116">
      <c r="A116" s="5" t="inlineStr">
        <is>
          <t>UN0150</t>
        </is>
      </c>
      <c r="B116" s="3" t="inlineStr">
        <is>
          <t>63020001</t>
        </is>
      </c>
      <c r="C116" s="6" t="n">
        <v>44171</v>
      </c>
      <c r="D116" s="3" t="inlineStr">
        <is>
          <t>TN</t>
        </is>
      </c>
      <c r="E116" s="3" t="inlineStr">
        <is>
          <t>LKR</t>
        </is>
      </c>
      <c r="F116" s="4" t="n">
        <v>-200722</v>
      </c>
      <c r="G116" s="3" t="inlineStr">
        <is>
          <t>USD</t>
        </is>
      </c>
      <c r="H116" s="4" t="n">
        <v>-1077.93</v>
      </c>
      <c r="I116" s="5" t="inlineStr">
        <is>
          <t>TFR FM 0075171640</t>
        </is>
      </c>
      <c r="J116" s="3">
        <f>IF(C116="","",TODAY()-C116)</f>
        <v/>
      </c>
    </row>
    <row r="117">
      <c r="A117" s="7" t="n"/>
      <c r="B117" s="7" t="n"/>
      <c r="C117" s="7" t="n"/>
      <c r="D117" s="7" t="n"/>
      <c r="E117" s="7" t="n"/>
      <c r="F117" s="8">
        <f>SUM(F4:F116)</f>
        <v/>
      </c>
      <c r="G117" s="7" t="n"/>
      <c r="H117" s="8">
        <f>SUM(H4:H116)</f>
        <v/>
      </c>
      <c r="I117" s="7" t="n"/>
      <c r="J117" s="7" t="n"/>
    </row>
  </sheetData>
  <mergeCells count="1"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45" customWidth="1" min="9" max="9"/>
    <col width="28" customWidth="1" min="10" max="10"/>
  </cols>
  <sheetData>
    <row r="1"/>
    <row r="2">
      <c r="A2" s="1" t="inlineStr">
        <is>
          <t>Account: 63020002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63020002</t>
        </is>
      </c>
      <c r="C4" s="6" t="n">
        <v>44141</v>
      </c>
      <c r="D4" s="3" t="inlineStr">
        <is>
          <t>TN</t>
        </is>
      </c>
      <c r="E4" s="3" t="inlineStr">
        <is>
          <t>LKR</t>
        </is>
      </c>
      <c r="F4" s="4" t="n">
        <v>265500</v>
      </c>
      <c r="G4" s="3" t="inlineStr">
        <is>
          <t>USD</t>
        </is>
      </c>
      <c r="H4" s="4" t="n">
        <v>1425.81</v>
      </c>
      <c r="I4" s="5" t="inlineStr">
        <is>
          <t>pEUy rder . .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63020002</t>
        </is>
      </c>
      <c r="C5" s="6" t="n">
        <v>44141</v>
      </c>
      <c r="D5" s="3" t="inlineStr">
        <is>
          <t>TN</t>
        </is>
      </c>
      <c r="E5" s="3" t="inlineStr">
        <is>
          <t>LKR</t>
        </is>
      </c>
      <c r="F5" s="4" t="n">
        <v>200</v>
      </c>
      <c r="G5" s="3" t="inlineStr">
        <is>
          <t>USD</t>
        </is>
      </c>
      <c r="H5" s="4" t="n">
        <v>1.07</v>
      </c>
      <c r="I5" s="5" t="inlineStr">
        <is>
          <t>pEUy rder cmmssn . .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63020002</t>
        </is>
      </c>
      <c r="C6" s="6" t="n">
        <v>43867</v>
      </c>
      <c r="D6" s="3" t="inlineStr">
        <is>
          <t>TN</t>
        </is>
      </c>
      <c r="E6" s="3" t="inlineStr">
        <is>
          <t>LKR</t>
        </is>
      </c>
      <c r="F6" s="4" t="n">
        <v>543396</v>
      </c>
      <c r="G6" s="3" t="inlineStr">
        <is>
          <t>USD</t>
        </is>
      </c>
      <c r="H6" s="4" t="n">
        <v>2918.19</v>
      </c>
      <c r="I6" s="5" t="inlineStr">
        <is>
          <t>PETTY CEUSH . .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63020002</t>
        </is>
      </c>
      <c r="C7" s="6" t="n">
        <v>43867</v>
      </c>
      <c r="D7" s="3" t="inlineStr">
        <is>
          <t>TN</t>
        </is>
      </c>
      <c r="E7" s="3" t="inlineStr">
        <is>
          <t>LKR</t>
        </is>
      </c>
      <c r="F7" s="4" t="n">
        <v>543396.5</v>
      </c>
      <c r="G7" s="3" t="inlineStr">
        <is>
          <t>USD</t>
        </is>
      </c>
      <c r="H7" s="4" t="n">
        <v>2918.19</v>
      </c>
      <c r="I7" s="5" t="inlineStr">
        <is>
          <t>PETTY CEUSH . .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63020002</t>
        </is>
      </c>
      <c r="C8" s="6" t="n">
        <v>44141</v>
      </c>
      <c r="D8" s="3" t="inlineStr">
        <is>
          <t>TN</t>
        </is>
      </c>
      <c r="E8" s="3" t="inlineStr">
        <is>
          <t>LKR</t>
        </is>
      </c>
      <c r="F8" s="4" t="n">
        <v>478554</v>
      </c>
      <c r="G8" s="3" t="inlineStr">
        <is>
          <t>USD</t>
        </is>
      </c>
      <c r="H8" s="4" t="n">
        <v>2569.97</v>
      </c>
      <c r="I8" s="5" t="inlineStr">
        <is>
          <t>PETTY CEUSH . .</t>
        </is>
      </c>
      <c r="J8" s="3">
        <f>IF(C8="","",TODAY()-C8)</f>
        <v/>
      </c>
    </row>
    <row r="9">
      <c r="A9" s="5" t="inlineStr">
        <is>
          <t>XT0150</t>
        </is>
      </c>
      <c r="B9" s="3" t="inlineStr">
        <is>
          <t>63020002</t>
        </is>
      </c>
      <c r="C9" s="6" t="n">
        <v>44080</v>
      </c>
      <c r="D9" s="3" t="inlineStr">
        <is>
          <t>TN</t>
        </is>
      </c>
      <c r="E9" s="3" t="inlineStr">
        <is>
          <t>LKR</t>
        </is>
      </c>
      <c r="F9" s="4" t="n">
        <v>411669.82</v>
      </c>
      <c r="G9" s="3" t="inlineStr">
        <is>
          <t>USD</t>
        </is>
      </c>
      <c r="H9" s="4" t="n">
        <v>2210.78</v>
      </c>
      <c r="I9" s="5" t="inlineStr">
        <is>
          <t>PETTY CEUSH REMBERSMENT . .</t>
        </is>
      </c>
      <c r="J9" s="3">
        <f>IF(C9="","",TODAY()-C9)</f>
        <v/>
      </c>
    </row>
    <row r="10">
      <c r="A10" s="5" t="inlineStr">
        <is>
          <t>UN0150</t>
        </is>
      </c>
      <c r="B10" s="3" t="inlineStr">
        <is>
          <t>63020002</t>
        </is>
      </c>
      <c r="C10" s="3" t="n">
        <v/>
      </c>
      <c r="D10" s="3" t="inlineStr">
        <is>
          <t>TN</t>
        </is>
      </c>
      <c r="E10" s="3" t="inlineStr">
        <is>
          <t>LKR</t>
        </is>
      </c>
      <c r="F10" s="4" t="n">
        <v>42295.26</v>
      </c>
      <c r="G10" s="3" t="inlineStr">
        <is>
          <t>USD</t>
        </is>
      </c>
      <c r="H10" s="4" t="n">
        <v>227.14</v>
      </c>
      <c r="I10" s="5" t="inlineStr">
        <is>
          <t>4835574000000350</t>
        </is>
      </c>
      <c r="J10" s="3">
        <f>IF(C10="","",TODAY()-C10)</f>
        <v/>
      </c>
    </row>
    <row r="11">
      <c r="A11" s="5" t="inlineStr">
        <is>
          <t>UN0150</t>
        </is>
      </c>
      <c r="B11" s="3" t="inlineStr">
        <is>
          <t>63020002</t>
        </is>
      </c>
      <c r="C11" s="3" t="n">
        <v/>
      </c>
      <c r="D11" s="3" t="inlineStr">
        <is>
          <t>TN</t>
        </is>
      </c>
      <c r="E11" s="3" t="inlineStr">
        <is>
          <t>LKR</t>
        </is>
      </c>
      <c r="F11" s="4" t="n">
        <v>230539.98</v>
      </c>
      <c r="G11" s="3" t="inlineStr">
        <is>
          <t>USD</t>
        </is>
      </c>
      <c r="H11" s="4" t="n">
        <v>1238.06</v>
      </c>
      <c r="I11" s="5" t="inlineStr">
        <is>
          <t>4835574000000920</t>
        </is>
      </c>
      <c r="J11" s="3">
        <f>IF(C11="","",TODAY()-C11)</f>
        <v/>
      </c>
    </row>
    <row r="12">
      <c r="A12" s="5" t="inlineStr">
        <is>
          <t>UN0150</t>
        </is>
      </c>
      <c r="B12" s="3" t="inlineStr">
        <is>
          <t>63020002</t>
        </is>
      </c>
      <c r="C12" s="3" t="n">
        <v/>
      </c>
      <c r="D12" s="3" t="inlineStr">
        <is>
          <t>TN</t>
        </is>
      </c>
      <c r="E12" s="3" t="inlineStr">
        <is>
          <t>LKR</t>
        </is>
      </c>
      <c r="F12" s="4" t="n">
        <v>90159.08</v>
      </c>
      <c r="G12" s="3" t="inlineStr">
        <is>
          <t>USD</t>
        </is>
      </c>
      <c r="H12" s="4" t="n">
        <v>484.18</v>
      </c>
      <c r="I12" s="5" t="inlineStr">
        <is>
          <t>4835574000001050</t>
        </is>
      </c>
      <c r="J12" s="3">
        <f>IF(C12="","",TODAY()-C12)</f>
        <v/>
      </c>
    </row>
    <row r="13">
      <c r="A13" s="5" t="inlineStr">
        <is>
          <t>UN0150</t>
        </is>
      </c>
      <c r="B13" s="3" t="inlineStr">
        <is>
          <t>63020002</t>
        </is>
      </c>
      <c r="C13" s="3" t="n">
        <v/>
      </c>
      <c r="D13" s="3" t="inlineStr">
        <is>
          <t>TN</t>
        </is>
      </c>
      <c r="E13" s="3" t="inlineStr">
        <is>
          <t>LKR</t>
        </is>
      </c>
      <c r="F13" s="4" t="n">
        <v>5533.1</v>
      </c>
      <c r="G13" s="3" t="inlineStr">
        <is>
          <t>USD</t>
        </is>
      </c>
      <c r="H13" s="4" t="n">
        <v>29.71</v>
      </c>
      <c r="I13" s="5" t="inlineStr">
        <is>
          <t>4835574000001150</t>
        </is>
      </c>
      <c r="J13" s="3">
        <f>IF(C13="","",TODAY()-C13)</f>
        <v/>
      </c>
    </row>
    <row r="14">
      <c r="A14" s="5" t="inlineStr">
        <is>
          <t>XT0150</t>
        </is>
      </c>
      <c r="B14" s="3" t="inlineStr">
        <is>
          <t>63020002</t>
        </is>
      </c>
      <c r="C14" s="6" t="n">
        <v>44080</v>
      </c>
      <c r="D14" s="3" t="inlineStr">
        <is>
          <t>TN</t>
        </is>
      </c>
      <c r="E14" s="3" t="inlineStr">
        <is>
          <t>LKR</t>
        </is>
      </c>
      <c r="F14" s="4" t="n">
        <v>46350</v>
      </c>
      <c r="G14" s="3" t="inlineStr">
        <is>
          <t>USD</t>
        </is>
      </c>
      <c r="H14" s="4" t="n">
        <v>248.91</v>
      </c>
      <c r="I14" s="5" t="inlineStr">
        <is>
          <t>EURREEURS SPECEUL EUDVEUNCE . .</t>
        </is>
      </c>
      <c r="J14" s="3">
        <f>IF(C14="","",TODAY()-C14)</f>
        <v/>
      </c>
    </row>
    <row r="15">
      <c r="A15" s="5" t="inlineStr">
        <is>
          <t>UN0150</t>
        </is>
      </c>
      <c r="B15" s="3" t="inlineStr">
        <is>
          <t>63020002</t>
        </is>
      </c>
      <c r="C15" s="6" t="n">
        <v>43896</v>
      </c>
      <c r="D15" s="3" t="inlineStr">
        <is>
          <t>TN</t>
        </is>
      </c>
      <c r="E15" s="3" t="inlineStr">
        <is>
          <t>LKR</t>
        </is>
      </c>
      <c r="F15" s="4" t="n">
        <v>1500</v>
      </c>
      <c r="G15" s="3" t="inlineStr">
        <is>
          <t>USD</t>
        </is>
      </c>
      <c r="H15" s="4" t="n">
        <v>8.06</v>
      </c>
      <c r="I15" s="5" t="inlineStr">
        <is>
          <t>BC PUGDEU</t>
        </is>
      </c>
      <c r="J15" s="3">
        <f>IF(C15="","",TODAY()-C15)</f>
        <v/>
      </c>
    </row>
    <row r="16">
      <c r="A16" s="5" t="inlineStr">
        <is>
          <t>UN0150</t>
        </is>
      </c>
      <c r="B16" s="3" t="inlineStr">
        <is>
          <t>63020002</t>
        </is>
      </c>
      <c r="C16" s="6" t="n">
        <v>43896</v>
      </c>
      <c r="D16" s="3" t="inlineStr">
        <is>
          <t>TN</t>
        </is>
      </c>
      <c r="E16" s="3" t="inlineStr">
        <is>
          <t>LKR</t>
        </is>
      </c>
      <c r="F16" s="4" t="n">
        <v>200000</v>
      </c>
      <c r="G16" s="3" t="inlineStr">
        <is>
          <t>USD</t>
        </is>
      </c>
      <c r="H16" s="4" t="n">
        <v>1074.06</v>
      </c>
      <c r="I16" s="5" t="n">
        <v/>
      </c>
      <c r="J16" s="3">
        <f>IF(C16="","",TODAY()-C16)</f>
        <v/>
      </c>
    </row>
    <row r="17">
      <c r="A17" s="5" t="inlineStr">
        <is>
          <t>UN0150</t>
        </is>
      </c>
      <c r="B17" s="3" t="inlineStr">
        <is>
          <t>63020002</t>
        </is>
      </c>
      <c r="C17" s="6" t="n">
        <v>44110</v>
      </c>
      <c r="D17" s="3" t="inlineStr">
        <is>
          <t>TN</t>
        </is>
      </c>
      <c r="E17" s="3" t="inlineStr">
        <is>
          <t>LKR</t>
        </is>
      </c>
      <c r="F17" s="4" t="n">
        <v>1500</v>
      </c>
      <c r="G17" s="3" t="inlineStr">
        <is>
          <t>USD</t>
        </is>
      </c>
      <c r="H17" s="4" t="n">
        <v>8.06</v>
      </c>
      <c r="I17" s="5" t="inlineStr">
        <is>
          <t>OPAEU wEUter trsEUnsprt</t>
        </is>
      </c>
      <c r="J17" s="3">
        <f>IF(C17="","",TODAY()-C17)</f>
        <v/>
      </c>
    </row>
    <row r="18">
      <c r="A18" s="5" t="inlineStr">
        <is>
          <t>UN0150</t>
        </is>
      </c>
      <c r="B18" s="3" t="inlineStr">
        <is>
          <t>63020002</t>
        </is>
      </c>
      <c r="C18" s="6" t="n">
        <v>44110</v>
      </c>
      <c r="D18" s="3" t="inlineStr">
        <is>
          <t>TN</t>
        </is>
      </c>
      <c r="E18" s="3" t="inlineStr">
        <is>
          <t>LKR</t>
        </is>
      </c>
      <c r="F18" s="4" t="n">
        <v>1500</v>
      </c>
      <c r="G18" s="3" t="inlineStr">
        <is>
          <t>USD</t>
        </is>
      </c>
      <c r="H18" s="4" t="n">
        <v>8.06</v>
      </c>
      <c r="I18" s="5" t="inlineStr">
        <is>
          <t>OPAEU EUBCNPRT</t>
        </is>
      </c>
      <c r="J18" s="3">
        <f>IF(C18="","",TODAY()-C18)</f>
        <v/>
      </c>
    </row>
    <row r="19">
      <c r="A19" s="5" t="inlineStr">
        <is>
          <t>UN0150</t>
        </is>
      </c>
      <c r="B19" s="3" t="inlineStr">
        <is>
          <t>63020002</t>
        </is>
      </c>
      <c r="C19" s="6" t="n">
        <v>43867</v>
      </c>
      <c r="D19" s="3" t="inlineStr">
        <is>
          <t>TN</t>
        </is>
      </c>
      <c r="E19" s="3" t="inlineStr">
        <is>
          <t>LKR</t>
        </is>
      </c>
      <c r="F19" s="4" t="n">
        <v>221754</v>
      </c>
      <c r="G19" s="3" t="inlineStr">
        <is>
          <t>USD</t>
        </is>
      </c>
      <c r="H19" s="4" t="n">
        <v>1190.88</v>
      </c>
      <c r="I19" s="5" t="inlineStr">
        <is>
          <t>MEUL TUNF</t>
        </is>
      </c>
      <c r="J19" s="3">
        <f>IF(C19="","",TODAY()-C19)</f>
        <v/>
      </c>
    </row>
    <row r="20">
      <c r="A20" s="5" t="inlineStr">
        <is>
          <t>UN0150</t>
        </is>
      </c>
      <c r="B20" s="3" t="inlineStr">
        <is>
          <t>63020002</t>
        </is>
      </c>
      <c r="C20" s="6" t="n">
        <v>44049</v>
      </c>
      <c r="D20" s="3" t="inlineStr">
        <is>
          <t>TN</t>
        </is>
      </c>
      <c r="E20" s="3" t="inlineStr">
        <is>
          <t>LKR</t>
        </is>
      </c>
      <c r="F20" s="4" t="n">
        <v>320043</v>
      </c>
      <c r="G20" s="3" t="inlineStr">
        <is>
          <t>USD</t>
        </is>
      </c>
      <c r="H20" s="4" t="n">
        <v>1718.72</v>
      </c>
      <c r="I20" s="5" t="inlineStr">
        <is>
          <t>MEUL TUNF</t>
        </is>
      </c>
      <c r="J20" s="3">
        <f>IF(C20="","",TODAY()-C20)</f>
        <v/>
      </c>
    </row>
    <row r="21">
      <c r="A21" s="5" t="inlineStr">
        <is>
          <t>UN0150</t>
        </is>
      </c>
      <c r="B21" s="3" t="inlineStr">
        <is>
          <t>63020002</t>
        </is>
      </c>
      <c r="C21" s="6" t="n">
        <v>44080</v>
      </c>
      <c r="D21" s="3" t="inlineStr">
        <is>
          <t>TN</t>
        </is>
      </c>
      <c r="E21" s="3" t="inlineStr">
        <is>
          <t>LKR</t>
        </is>
      </c>
      <c r="F21" s="4" t="n">
        <v>247971</v>
      </c>
      <c r="G21" s="3" t="inlineStr">
        <is>
          <t>USD</t>
        </is>
      </c>
      <c r="H21" s="4" t="n">
        <v>1331.67</v>
      </c>
      <c r="I21" s="5" t="inlineStr">
        <is>
          <t>MEUL TUNF</t>
        </is>
      </c>
      <c r="J21" s="3">
        <f>IF(C21="","",TODAY()-C21)</f>
        <v/>
      </c>
    </row>
    <row r="22">
      <c r="A22" s="5" t="inlineStr">
        <is>
          <t>UN0150</t>
        </is>
      </c>
      <c r="B22" s="3" t="inlineStr">
        <is>
          <t>63020002</t>
        </is>
      </c>
      <c r="C22" s="6" t="n">
        <v>44171</v>
      </c>
      <c r="D22" s="3" t="inlineStr">
        <is>
          <t>TN</t>
        </is>
      </c>
      <c r="E22" s="3" t="inlineStr">
        <is>
          <t>LKR</t>
        </is>
      </c>
      <c r="F22" s="4" t="n">
        <v>424073</v>
      </c>
      <c r="G22" s="3" t="inlineStr">
        <is>
          <t>USD</t>
        </is>
      </c>
      <c r="H22" s="4" t="n">
        <v>2277.39</v>
      </c>
      <c r="I22" s="5" t="inlineStr">
        <is>
          <t>MEUL TUNF</t>
        </is>
      </c>
      <c r="J22" s="3">
        <f>IF(C22="","",TODAY()-C22)</f>
        <v/>
      </c>
    </row>
    <row r="23">
      <c r="A23" s="5" t="inlineStr">
        <is>
          <t>UN0150</t>
        </is>
      </c>
      <c r="B23" s="3" t="inlineStr">
        <is>
          <t>63020002</t>
        </is>
      </c>
      <c r="C23" s="6" t="n">
        <v>44171</v>
      </c>
      <c r="D23" s="3" t="inlineStr">
        <is>
          <t>TN</t>
        </is>
      </c>
      <c r="E23" s="3" t="inlineStr">
        <is>
          <t>LKR</t>
        </is>
      </c>
      <c r="F23" s="4" t="n">
        <v>1273</v>
      </c>
      <c r="G23" s="3" t="inlineStr">
        <is>
          <t>USD</t>
        </is>
      </c>
      <c r="H23" s="4" t="n">
        <v>6.84</v>
      </c>
      <c r="I23" s="5" t="n">
        <v/>
      </c>
      <c r="J23" s="3">
        <f>IF(C23="","",TODAY()-C23)</f>
        <v/>
      </c>
    </row>
    <row r="24">
      <c r="A24" s="5" t="inlineStr">
        <is>
          <t>UN0150</t>
        </is>
      </c>
      <c r="B24" s="3" t="inlineStr">
        <is>
          <t>63020002</t>
        </is>
      </c>
      <c r="C24" s="6" t="n">
        <v>44171</v>
      </c>
      <c r="D24" s="3" t="inlineStr">
        <is>
          <t>TN</t>
        </is>
      </c>
      <c r="E24" s="3" t="inlineStr">
        <is>
          <t>LKR</t>
        </is>
      </c>
      <c r="F24" s="4" t="n">
        <v>600</v>
      </c>
      <c r="G24" s="3" t="inlineStr">
        <is>
          <t>USD</t>
        </is>
      </c>
      <c r="H24" s="4" t="n">
        <v>3.22</v>
      </c>
      <c r="I24" s="5" t="n">
        <v/>
      </c>
      <c r="J24" s="3">
        <f>IF(C24="","",TODAY()-C24)</f>
        <v/>
      </c>
    </row>
    <row r="25">
      <c r="A25" s="5" t="inlineStr">
        <is>
          <t>UN0150</t>
        </is>
      </c>
      <c r="B25" s="3" t="inlineStr">
        <is>
          <t>63020002</t>
        </is>
      </c>
      <c r="C25" s="6" t="n">
        <v>44080</v>
      </c>
      <c r="D25" s="3" t="inlineStr">
        <is>
          <t>TN</t>
        </is>
      </c>
      <c r="E25" s="3" t="inlineStr">
        <is>
          <t>LKR</t>
        </is>
      </c>
      <c r="F25" s="4" t="n">
        <v>744</v>
      </c>
      <c r="G25" s="3" t="inlineStr">
        <is>
          <t>USD</t>
        </is>
      </c>
      <c r="H25" s="4" t="n">
        <v>4</v>
      </c>
      <c r="I25" s="5" t="n">
        <v/>
      </c>
      <c r="J25" s="3">
        <f>IF(C25="","",TODAY()-C25)</f>
        <v/>
      </c>
    </row>
    <row r="26">
      <c r="A26" s="5" t="inlineStr">
        <is>
          <t>UN0150</t>
        </is>
      </c>
      <c r="B26" s="3" t="inlineStr">
        <is>
          <t>63020002</t>
        </is>
      </c>
      <c r="C26" s="6" t="n">
        <v>44110</v>
      </c>
      <c r="D26" s="3" t="inlineStr">
        <is>
          <t>TN</t>
        </is>
      </c>
      <c r="E26" s="3" t="inlineStr">
        <is>
          <t>LKR</t>
        </is>
      </c>
      <c r="F26" s="4" t="n">
        <v>250</v>
      </c>
      <c r="G26" s="3" t="inlineStr">
        <is>
          <t>USD</t>
        </is>
      </c>
      <c r="H26" s="4" t="n">
        <v>1.34</v>
      </c>
      <c r="I26" s="5" t="inlineStr">
        <is>
          <t>P  CM</t>
        </is>
      </c>
      <c r="J26" s="3">
        <f>IF(C26="","",TODAY()-C26)</f>
        <v/>
      </c>
    </row>
    <row r="27">
      <c r="A27" s="5" t="inlineStr">
        <is>
          <t>UN0150</t>
        </is>
      </c>
      <c r="B27" s="3" t="inlineStr">
        <is>
          <t>63020002</t>
        </is>
      </c>
      <c r="C27" s="6" t="n">
        <v>44110</v>
      </c>
      <c r="D27" s="3" t="inlineStr">
        <is>
          <t>TN</t>
        </is>
      </c>
      <c r="E27" s="3" t="inlineStr">
        <is>
          <t>LKR</t>
        </is>
      </c>
      <c r="F27" s="4" t="n">
        <v>112264</v>
      </c>
      <c r="G27" s="3" t="inlineStr">
        <is>
          <t>USD</t>
        </is>
      </c>
      <c r="H27" s="4" t="n">
        <v>602.89</v>
      </c>
      <c r="I27" s="5" t="inlineStr">
        <is>
          <t>P  DGC</t>
        </is>
      </c>
      <c r="J27" s="3">
        <f>IF(C27="","",TODAY()-C27)</f>
        <v/>
      </c>
    </row>
    <row r="28">
      <c r="A28" s="5" t="inlineStr">
        <is>
          <t>XT0150</t>
        </is>
      </c>
      <c r="B28" s="3" t="inlineStr">
        <is>
          <t>63020002</t>
        </is>
      </c>
      <c r="C28" s="6" t="n">
        <v>44080</v>
      </c>
      <c r="D28" s="3" t="inlineStr">
        <is>
          <t>TN</t>
        </is>
      </c>
      <c r="E28" s="3" t="inlineStr">
        <is>
          <t>LKR</t>
        </is>
      </c>
      <c r="F28" s="4" t="n">
        <v>460857.12</v>
      </c>
      <c r="G28" s="3" t="inlineStr">
        <is>
          <t>USD</t>
        </is>
      </c>
      <c r="H28" s="4" t="n">
        <v>2474.93</v>
      </c>
      <c r="I28" s="5" t="inlineStr">
        <is>
          <t>PETTY CEUSH . .</t>
        </is>
      </c>
      <c r="J28" s="3">
        <f>IF(C28="","",TODAY()-C28)</f>
        <v/>
      </c>
    </row>
    <row r="29">
      <c r="A29" s="5" t="inlineStr">
        <is>
          <t>XT0150</t>
        </is>
      </c>
      <c r="B29" s="3" t="inlineStr">
        <is>
          <t>63020002</t>
        </is>
      </c>
      <c r="C29" s="6" t="n">
        <v>44080</v>
      </c>
      <c r="D29" s="3" t="inlineStr">
        <is>
          <t>TN</t>
        </is>
      </c>
      <c r="E29" s="3" t="inlineStr">
        <is>
          <t>LKR</t>
        </is>
      </c>
      <c r="F29" s="4" t="n">
        <v>489500.97</v>
      </c>
      <c r="G29" s="3" t="inlineStr">
        <is>
          <t>USD</t>
        </is>
      </c>
      <c r="H29" s="4" t="n">
        <v>2628.76</v>
      </c>
      <c r="I29" s="5" t="inlineStr">
        <is>
          <t>PETTY CEUSH . .</t>
        </is>
      </c>
      <c r="J29" s="3">
        <f>IF(C29="","",TODAY()-C29)</f>
        <v/>
      </c>
    </row>
    <row r="30">
      <c r="A30" s="5" t="inlineStr">
        <is>
          <t>UN0151</t>
        </is>
      </c>
      <c r="B30" s="3" t="inlineStr">
        <is>
          <t>63020002</t>
        </is>
      </c>
      <c r="C30" s="6" t="n">
        <v>44049</v>
      </c>
      <c r="D30" s="3" t="inlineStr">
        <is>
          <t>TN</t>
        </is>
      </c>
      <c r="E30" s="3" t="inlineStr">
        <is>
          <t>LKR</t>
        </is>
      </c>
      <c r="F30" s="4" t="n">
        <v>-5000</v>
      </c>
      <c r="G30" s="3" t="inlineStr">
        <is>
          <t>USD</t>
        </is>
      </c>
      <c r="H30" s="4" t="n">
        <v>-26.85</v>
      </c>
      <c r="I30" s="5" t="inlineStr">
        <is>
          <t>Bunglw recevEUtn - RuwnEU M</t>
        </is>
      </c>
      <c r="J30" s="3">
        <f>IF(C30="","",TODAY()-C30)</f>
        <v/>
      </c>
    </row>
    <row r="31">
      <c r="A31" s="5" t="inlineStr">
        <is>
          <t>UN0151</t>
        </is>
      </c>
      <c r="B31" s="3" t="inlineStr">
        <is>
          <t>63020002</t>
        </is>
      </c>
      <c r="C31" s="6" t="n">
        <v>43867</v>
      </c>
      <c r="D31" s="3" t="inlineStr">
        <is>
          <t>TN</t>
        </is>
      </c>
      <c r="E31" s="3" t="inlineStr">
        <is>
          <t>LKR</t>
        </is>
      </c>
      <c r="F31" s="4" t="n">
        <v>221754</v>
      </c>
      <c r="G31" s="3" t="inlineStr">
        <is>
          <t>USD</t>
        </is>
      </c>
      <c r="H31" s="4" t="n">
        <v>1190.88</v>
      </c>
      <c r="I31" s="5" t="n">
        <v/>
      </c>
      <c r="J31" s="3">
        <f>IF(C31="","",TODAY()-C31)</f>
        <v/>
      </c>
    </row>
    <row r="32">
      <c r="A32" s="5" t="inlineStr">
        <is>
          <t>UN0151</t>
        </is>
      </c>
      <c r="B32" s="3" t="inlineStr">
        <is>
          <t>63020002</t>
        </is>
      </c>
      <c r="C32" s="6" t="n">
        <v>44049</v>
      </c>
      <c r="D32" s="3" t="inlineStr">
        <is>
          <t>TN</t>
        </is>
      </c>
      <c r="E32" s="3" t="inlineStr">
        <is>
          <t>LKR</t>
        </is>
      </c>
      <c r="F32" s="4" t="n">
        <v>320043</v>
      </c>
      <c r="G32" s="3" t="inlineStr">
        <is>
          <t>USD</t>
        </is>
      </c>
      <c r="H32" s="4" t="n">
        <v>1718.72</v>
      </c>
      <c r="I32" s="5" t="n">
        <v/>
      </c>
      <c r="J32" s="3">
        <f>IF(C32="","",TODAY()-C32)</f>
        <v/>
      </c>
    </row>
    <row r="33">
      <c r="A33" s="5" t="inlineStr">
        <is>
          <t>UN0151</t>
        </is>
      </c>
      <c r="B33" s="3" t="inlineStr">
        <is>
          <t>63020002</t>
        </is>
      </c>
      <c r="C33" s="6" t="n">
        <v>44080</v>
      </c>
      <c r="D33" s="3" t="inlineStr">
        <is>
          <t>TN</t>
        </is>
      </c>
      <c r="E33" s="3" t="inlineStr">
        <is>
          <t>LKR</t>
        </is>
      </c>
      <c r="F33" s="4" t="n">
        <v>247971</v>
      </c>
      <c r="G33" s="3" t="inlineStr">
        <is>
          <t>USD</t>
        </is>
      </c>
      <c r="H33" s="4" t="n">
        <v>1331.67</v>
      </c>
      <c r="I33" s="5" t="n">
        <v/>
      </c>
      <c r="J33" s="3">
        <f>IF(C33="","",TODAY()-C33)</f>
        <v/>
      </c>
    </row>
    <row r="34">
      <c r="A34" s="5" t="inlineStr">
        <is>
          <t>UN0151</t>
        </is>
      </c>
      <c r="B34" s="3" t="inlineStr">
        <is>
          <t>63020002</t>
        </is>
      </c>
      <c r="C34" s="6" t="n">
        <v>44171</v>
      </c>
      <c r="D34" s="3" t="inlineStr">
        <is>
          <t>TN</t>
        </is>
      </c>
      <c r="E34" s="3" t="inlineStr">
        <is>
          <t>LKR</t>
        </is>
      </c>
      <c r="F34" s="4" t="n">
        <v>424073</v>
      </c>
      <c r="G34" s="3" t="inlineStr">
        <is>
          <t>USD</t>
        </is>
      </c>
      <c r="H34" s="4" t="n">
        <v>2277.39</v>
      </c>
      <c r="I34" s="5" t="n">
        <v/>
      </c>
      <c r="J34" s="3">
        <f>IF(C34="","",TODAY()-C34)</f>
        <v/>
      </c>
    </row>
    <row r="35">
      <c r="A35" s="5" t="inlineStr">
        <is>
          <t>XT0150</t>
        </is>
      </c>
      <c r="B35" s="3" t="inlineStr">
        <is>
          <t>63020002</t>
        </is>
      </c>
      <c r="C35" s="6" t="n">
        <v>43896</v>
      </c>
      <c r="D35" s="3" t="inlineStr">
        <is>
          <t>TN</t>
        </is>
      </c>
      <c r="E35" s="3" t="inlineStr">
        <is>
          <t>LKR</t>
        </is>
      </c>
      <c r="F35" s="4" t="n">
        <v>600000</v>
      </c>
      <c r="G35" s="3" t="inlineStr">
        <is>
          <t>USD</t>
        </is>
      </c>
      <c r="H35" s="4" t="n">
        <v>3222.17</v>
      </c>
      <c r="I35" s="5" t="inlineStr">
        <is>
          <t>CEUSH EUDVEUNCE . .</t>
        </is>
      </c>
      <c r="J35" s="3">
        <f>IF(C35="","",TODAY()-C35)</f>
        <v/>
      </c>
    </row>
    <row r="36">
      <c r="A36" s="5" t="inlineStr">
        <is>
          <t>XT0150</t>
        </is>
      </c>
      <c r="B36" s="3" t="inlineStr">
        <is>
          <t>63020002</t>
        </is>
      </c>
      <c r="C36" s="6" t="n">
        <v>43896</v>
      </c>
      <c r="D36" s="3" t="inlineStr">
        <is>
          <t>TN</t>
        </is>
      </c>
      <c r="E36" s="3" t="inlineStr">
        <is>
          <t>LKR</t>
        </is>
      </c>
      <c r="F36" s="4" t="n">
        <v>483231</v>
      </c>
      <c r="G36" s="3" t="inlineStr">
        <is>
          <t>USD</t>
        </is>
      </c>
      <c r="H36" s="4" t="n">
        <v>2595.09</v>
      </c>
      <c r="I36" s="5" t="inlineStr">
        <is>
          <t>CEUSH WTHDREUWEUL PETTY CEUSH REMBERSMENT .</t>
        </is>
      </c>
      <c r="J36" s="3">
        <f>IF(C36="","",TODAY()-C36)</f>
        <v/>
      </c>
    </row>
    <row r="37">
      <c r="A37" s="5" t="inlineStr">
        <is>
          <t>XT0150</t>
        </is>
      </c>
      <c r="B37" s="3" t="inlineStr">
        <is>
          <t>63020002</t>
        </is>
      </c>
      <c r="C37" s="6" t="n">
        <v>43896</v>
      </c>
      <c r="D37" s="3" t="inlineStr">
        <is>
          <t>TN</t>
        </is>
      </c>
      <c r="E37" s="3" t="inlineStr">
        <is>
          <t>LKR</t>
        </is>
      </c>
      <c r="F37" s="4" t="n">
        <v>14287.38</v>
      </c>
      <c r="G37" s="3" t="inlineStr">
        <is>
          <t>USD</t>
        </is>
      </c>
      <c r="H37" s="4" t="n">
        <v>76.73</v>
      </c>
      <c r="I37" s="5" t="inlineStr">
        <is>
          <t>N PEUY REMBURSEMENT&amp;WEUGES EURR . .</t>
        </is>
      </c>
      <c r="J37" s="3">
        <f>IF(C37="","",TODAY()-C37)</f>
        <v/>
      </c>
    </row>
    <row r="38">
      <c r="A38" s="5" t="inlineStr">
        <is>
          <t>XT0150</t>
        </is>
      </c>
      <c r="B38" s="3" t="inlineStr">
        <is>
          <t>63020002</t>
        </is>
      </c>
      <c r="C38" s="6" t="n">
        <v>43896</v>
      </c>
      <c r="D38" s="3" t="inlineStr">
        <is>
          <t>TN</t>
        </is>
      </c>
      <c r="E38" s="3" t="inlineStr">
        <is>
          <t>LKR</t>
        </is>
      </c>
      <c r="F38" s="4" t="n">
        <v>95862.23</v>
      </c>
      <c r="G38" s="3" t="inlineStr">
        <is>
          <t>USD</t>
        </is>
      </c>
      <c r="H38" s="4" t="n">
        <v>514.8099999999999</v>
      </c>
      <c r="I38" s="5" t="inlineStr">
        <is>
          <t>N PEUY REMBURSEMENT&amp;WEUGES EURR . .</t>
        </is>
      </c>
      <c r="J38" s="3">
        <f>IF(C38="","",TODAY()-C38)</f>
        <v/>
      </c>
    </row>
    <row r="39">
      <c r="A39" s="5" t="inlineStr">
        <is>
          <t>UN0151</t>
        </is>
      </c>
      <c r="B39" s="3" t="inlineStr">
        <is>
          <t>63020002</t>
        </is>
      </c>
      <c r="C39" s="6" t="n">
        <v>43867</v>
      </c>
      <c r="D39" s="3" t="inlineStr">
        <is>
          <t>PZ</t>
        </is>
      </c>
      <c r="E39" s="3" t="inlineStr">
        <is>
          <t>LKR</t>
        </is>
      </c>
      <c r="F39" s="4" t="n">
        <v>-221754</v>
      </c>
      <c r="G39" s="3" t="inlineStr">
        <is>
          <t>USD</t>
        </is>
      </c>
      <c r="H39" s="4" t="n">
        <v>-1190.88</v>
      </c>
      <c r="I39" s="5" t="inlineStr">
        <is>
          <t>Petty cEUsh rembursement 02.06.2020</t>
        </is>
      </c>
      <c r="J39" s="3">
        <f>IF(C39="","",TODAY()-C39)</f>
        <v/>
      </c>
    </row>
    <row r="40">
      <c r="A40" s="5" t="inlineStr">
        <is>
          <t>UN0151</t>
        </is>
      </c>
      <c r="B40" s="3" t="inlineStr">
        <is>
          <t>63020002</t>
        </is>
      </c>
      <c r="C40" s="6" t="n">
        <v>43867</v>
      </c>
      <c r="D40" s="3" t="inlineStr">
        <is>
          <t>TN</t>
        </is>
      </c>
      <c r="E40" s="3" t="inlineStr">
        <is>
          <t>LKR</t>
        </is>
      </c>
      <c r="F40" s="4" t="n">
        <v>-221754</v>
      </c>
      <c r="G40" s="3" t="inlineStr">
        <is>
          <t>USD</t>
        </is>
      </c>
      <c r="H40" s="4" t="n">
        <v>-1190.88</v>
      </c>
      <c r="I40" s="5" t="n">
        <v/>
      </c>
      <c r="J40" s="3">
        <f>IF(C40="","",TODAY()-C40)</f>
        <v/>
      </c>
    </row>
    <row r="41">
      <c r="A41" s="5" t="inlineStr">
        <is>
          <t>UN0151</t>
        </is>
      </c>
      <c r="B41" s="3" t="inlineStr">
        <is>
          <t>63020002</t>
        </is>
      </c>
      <c r="C41" s="6" t="n">
        <v>44049</v>
      </c>
      <c r="D41" s="3" t="inlineStr">
        <is>
          <t>PZ</t>
        </is>
      </c>
      <c r="E41" s="3" t="inlineStr">
        <is>
          <t>LKR</t>
        </is>
      </c>
      <c r="F41" s="4" t="n">
        <v>-320043</v>
      </c>
      <c r="G41" s="3" t="inlineStr">
        <is>
          <t>USD</t>
        </is>
      </c>
      <c r="H41" s="4" t="n">
        <v>-1718.72</v>
      </c>
      <c r="I41" s="5" t="n">
        <v/>
      </c>
      <c r="J41" s="3">
        <f>IF(C41="","",TODAY()-C41)</f>
        <v/>
      </c>
    </row>
    <row r="42">
      <c r="A42" s="5" t="inlineStr">
        <is>
          <t>UN0151</t>
        </is>
      </c>
      <c r="B42" s="3" t="inlineStr">
        <is>
          <t>63020002</t>
        </is>
      </c>
      <c r="C42" s="6" t="n">
        <v>44080</v>
      </c>
      <c r="D42" s="3" t="inlineStr">
        <is>
          <t>PZ</t>
        </is>
      </c>
      <c r="E42" s="3" t="inlineStr">
        <is>
          <t>LKR</t>
        </is>
      </c>
      <c r="F42" s="4" t="n">
        <v>-247971</v>
      </c>
      <c r="G42" s="3" t="inlineStr">
        <is>
          <t>USD</t>
        </is>
      </c>
      <c r="H42" s="4" t="n">
        <v>-1331.67</v>
      </c>
      <c r="I42" s="5" t="n">
        <v/>
      </c>
      <c r="J42" s="3">
        <f>IF(C42="","",TODAY()-C42)</f>
        <v/>
      </c>
    </row>
    <row r="43">
      <c r="A43" s="5" t="inlineStr">
        <is>
          <t>UN0151</t>
        </is>
      </c>
      <c r="B43" s="3" t="inlineStr">
        <is>
          <t>63020002</t>
        </is>
      </c>
      <c r="C43" s="6" t="n">
        <v>44049</v>
      </c>
      <c r="D43" s="3" t="inlineStr">
        <is>
          <t>TN</t>
        </is>
      </c>
      <c r="E43" s="3" t="inlineStr">
        <is>
          <t>LKR</t>
        </is>
      </c>
      <c r="F43" s="4" t="n">
        <v>-320043</v>
      </c>
      <c r="G43" s="3" t="inlineStr">
        <is>
          <t>USD</t>
        </is>
      </c>
      <c r="H43" s="4" t="n">
        <v>-1718.72</v>
      </c>
      <c r="I43" s="5" t="n">
        <v/>
      </c>
      <c r="J43" s="3">
        <f>IF(C43="","",TODAY()-C43)</f>
        <v/>
      </c>
    </row>
    <row r="44">
      <c r="A44" s="5" t="inlineStr">
        <is>
          <t>UN0151</t>
        </is>
      </c>
      <c r="B44" s="3" t="inlineStr">
        <is>
          <t>63020002</t>
        </is>
      </c>
      <c r="C44" s="6" t="n">
        <v>44080</v>
      </c>
      <c r="D44" s="3" t="inlineStr">
        <is>
          <t>TN</t>
        </is>
      </c>
      <c r="E44" s="3" t="inlineStr">
        <is>
          <t>LKR</t>
        </is>
      </c>
      <c r="F44" s="4" t="n">
        <v>-247971</v>
      </c>
      <c r="G44" s="3" t="inlineStr">
        <is>
          <t>USD</t>
        </is>
      </c>
      <c r="H44" s="4" t="n">
        <v>-1331.67</v>
      </c>
      <c r="I44" s="5" t="n">
        <v/>
      </c>
      <c r="J44" s="3">
        <f>IF(C44="","",TODAY()-C44)</f>
        <v/>
      </c>
    </row>
    <row r="45">
      <c r="A45" s="5" t="inlineStr">
        <is>
          <t>UN0151</t>
        </is>
      </c>
      <c r="B45" s="3" t="inlineStr">
        <is>
          <t>63020002</t>
        </is>
      </c>
      <c r="C45" s="6" t="n">
        <v>44171</v>
      </c>
      <c r="D45" s="3" t="inlineStr">
        <is>
          <t>PZ</t>
        </is>
      </c>
      <c r="E45" s="3" t="inlineStr">
        <is>
          <t>LKR</t>
        </is>
      </c>
      <c r="F45" s="4" t="n">
        <v>-424073</v>
      </c>
      <c r="G45" s="3" t="inlineStr">
        <is>
          <t>USD</t>
        </is>
      </c>
      <c r="H45" s="4" t="n">
        <v>-2277.39</v>
      </c>
      <c r="I45" s="5" t="n">
        <v/>
      </c>
      <c r="J45" s="3">
        <f>IF(C45="","",TODAY()-C45)</f>
        <v/>
      </c>
    </row>
    <row r="46">
      <c r="A46" s="5" t="inlineStr">
        <is>
          <t>UN0151</t>
        </is>
      </c>
      <c r="B46" s="3" t="inlineStr">
        <is>
          <t>63020002</t>
        </is>
      </c>
      <c r="C46" s="6" t="n">
        <v>44171</v>
      </c>
      <c r="D46" s="3" t="inlineStr">
        <is>
          <t>TN</t>
        </is>
      </c>
      <c r="E46" s="3" t="inlineStr">
        <is>
          <t>LKR</t>
        </is>
      </c>
      <c r="F46" s="4" t="n">
        <v>-424073</v>
      </c>
      <c r="G46" s="3" t="inlineStr">
        <is>
          <t>USD</t>
        </is>
      </c>
      <c r="H46" s="4" t="n">
        <v>-2277.39</v>
      </c>
      <c r="I46" s="5" t="inlineStr">
        <is>
          <t>Petty cEUsh rembursement 12.06.2020</t>
        </is>
      </c>
      <c r="J46" s="3">
        <f>IF(C46="","",TODAY()-C46)</f>
        <v/>
      </c>
    </row>
    <row r="47">
      <c r="A47" s="5" t="inlineStr">
        <is>
          <t>XT0150</t>
        </is>
      </c>
      <c r="B47" s="3" t="inlineStr">
        <is>
          <t>63020002</t>
        </is>
      </c>
      <c r="C47" s="6" t="n">
        <v>43896</v>
      </c>
      <c r="D47" s="3" t="inlineStr">
        <is>
          <t>TN</t>
        </is>
      </c>
      <c r="E47" s="3" t="inlineStr">
        <is>
          <t>LKR</t>
        </is>
      </c>
      <c r="F47" s="4" t="n">
        <v>496056.53</v>
      </c>
      <c r="G47" s="3" t="inlineStr">
        <is>
          <t>USD</t>
        </is>
      </c>
      <c r="H47" s="4" t="n">
        <v>2663.96</v>
      </c>
      <c r="I47" s="5" t="inlineStr">
        <is>
          <t>PETTY CEUSH . .</t>
        </is>
      </c>
      <c r="J47" s="3">
        <f>IF(C47="","",TODAY()-C47)</f>
        <v/>
      </c>
    </row>
    <row r="48">
      <c r="A48" s="5" t="inlineStr">
        <is>
          <t>UN0150</t>
        </is>
      </c>
      <c r="B48" s="3" t="inlineStr">
        <is>
          <t>63020002</t>
        </is>
      </c>
      <c r="C48" s="6" t="n">
        <v>44110</v>
      </c>
      <c r="D48" s="3" t="inlineStr">
        <is>
          <t>TN</t>
        </is>
      </c>
      <c r="E48" s="3" t="inlineStr">
        <is>
          <t>LKR</t>
        </is>
      </c>
      <c r="F48" s="4" t="n">
        <v>2000</v>
      </c>
      <c r="G48" s="3" t="inlineStr">
        <is>
          <t>USD</t>
        </is>
      </c>
      <c r="H48" s="4" t="n">
        <v>10.74</v>
      </c>
      <c r="I48" s="5" t="n">
        <v/>
      </c>
      <c r="J48" s="3">
        <f>IF(C48="","",TODAY()-C48)</f>
        <v/>
      </c>
    </row>
    <row r="49">
      <c r="A49" s="5" t="inlineStr">
        <is>
          <t>UN0100</t>
        </is>
      </c>
      <c r="B49" s="3" t="inlineStr">
        <is>
          <t>63020002</t>
        </is>
      </c>
      <c r="C49" s="6" t="n">
        <v>44171</v>
      </c>
      <c r="D49" s="3" t="inlineStr">
        <is>
          <t>TN</t>
        </is>
      </c>
      <c r="E49" s="3" t="inlineStr">
        <is>
          <t>LKR</t>
        </is>
      </c>
      <c r="F49" s="4" t="n">
        <v>94056</v>
      </c>
      <c r="G49" s="3" t="inlineStr">
        <is>
          <t>USD</t>
        </is>
      </c>
      <c r="H49" s="4" t="n">
        <v>505.11</v>
      </c>
      <c r="I49" s="5" t="inlineStr">
        <is>
          <t>MEUL TUNF</t>
        </is>
      </c>
      <c r="J49" s="3">
        <f>IF(C49="","",TODAY()-C49)</f>
        <v/>
      </c>
    </row>
    <row r="50">
      <c r="A50" s="5" t="inlineStr">
        <is>
          <t>UN0100</t>
        </is>
      </c>
      <c r="B50" s="3" t="inlineStr">
        <is>
          <t>63020002</t>
        </is>
      </c>
      <c r="C50" s="6" t="n">
        <v>44171</v>
      </c>
      <c r="D50" s="3" t="inlineStr">
        <is>
          <t>TN</t>
        </is>
      </c>
      <c r="E50" s="3" t="inlineStr">
        <is>
          <t>LKR</t>
        </is>
      </c>
      <c r="F50" s="4" t="n">
        <v>111357</v>
      </c>
      <c r="G50" s="3" t="inlineStr">
        <is>
          <t>USD</t>
        </is>
      </c>
      <c r="H50" s="4" t="n">
        <v>598.02</v>
      </c>
      <c r="I50" s="5" t="inlineStr">
        <is>
          <t>MEUL TUNF</t>
        </is>
      </c>
      <c r="J50" s="3">
        <f>IF(C50="","",TODAY()-C50)</f>
        <v/>
      </c>
    </row>
    <row r="51">
      <c r="A51" s="5" t="inlineStr">
        <is>
          <t>UN0150</t>
        </is>
      </c>
      <c r="B51" s="3" t="inlineStr">
        <is>
          <t>63020002</t>
        </is>
      </c>
      <c r="C51" s="6" t="n">
        <v>44110</v>
      </c>
      <c r="D51" s="3" t="inlineStr">
        <is>
          <t>TN</t>
        </is>
      </c>
      <c r="E51" s="3" t="inlineStr">
        <is>
          <t>LKR</t>
        </is>
      </c>
      <c r="F51" s="4" t="n">
        <v>319396</v>
      </c>
      <c r="G51" s="3" t="inlineStr">
        <is>
          <t>USD</t>
        </is>
      </c>
      <c r="H51" s="4" t="n">
        <v>1715.25</v>
      </c>
      <c r="I51" s="5" t="n">
        <v/>
      </c>
      <c r="J51" s="3">
        <f>IF(C51="","",TODAY()-C51)</f>
        <v/>
      </c>
    </row>
    <row r="52">
      <c r="A52" s="5" t="inlineStr">
        <is>
          <t>UN0150</t>
        </is>
      </c>
      <c r="B52" s="3" t="inlineStr">
        <is>
          <t>63020002</t>
        </is>
      </c>
      <c r="C52" s="6" t="n">
        <v>44110</v>
      </c>
      <c r="D52" s="3" t="inlineStr">
        <is>
          <t>TN</t>
        </is>
      </c>
      <c r="E52" s="3" t="inlineStr">
        <is>
          <t>LKR</t>
        </is>
      </c>
      <c r="F52" s="4" t="n">
        <v>319396</v>
      </c>
      <c r="G52" s="3" t="inlineStr">
        <is>
          <t>USD</t>
        </is>
      </c>
      <c r="H52" s="4" t="n">
        <v>1715.25</v>
      </c>
      <c r="I52" s="5" t="n">
        <v/>
      </c>
      <c r="J52" s="3">
        <f>IF(C52="","",TODAY()-C52)</f>
        <v/>
      </c>
    </row>
    <row r="53">
      <c r="A53" s="5" t="inlineStr">
        <is>
          <t>UN0150</t>
        </is>
      </c>
      <c r="B53" s="3" t="inlineStr">
        <is>
          <t>63020002</t>
        </is>
      </c>
      <c r="C53" s="6" t="n">
        <v>44110</v>
      </c>
      <c r="D53" s="3" t="inlineStr">
        <is>
          <t>TN</t>
        </is>
      </c>
      <c r="E53" s="3" t="inlineStr">
        <is>
          <t>LKR</t>
        </is>
      </c>
      <c r="F53" s="4" t="n">
        <v>377330</v>
      </c>
      <c r="G53" s="3" t="inlineStr">
        <is>
          <t>USD</t>
        </is>
      </c>
      <c r="H53" s="4" t="n">
        <v>2026.37</v>
      </c>
      <c r="I53" s="5" t="n">
        <v/>
      </c>
      <c r="J53" s="3">
        <f>IF(C53="","",TODAY()-C53)</f>
        <v/>
      </c>
    </row>
    <row r="54">
      <c r="A54" s="5" t="inlineStr">
        <is>
          <t>UN0100</t>
        </is>
      </c>
      <c r="B54" s="3" t="inlineStr">
        <is>
          <t>63020002</t>
        </is>
      </c>
      <c r="C54" s="6" t="n">
        <v>44171</v>
      </c>
      <c r="D54" s="3" t="inlineStr">
        <is>
          <t>TN</t>
        </is>
      </c>
      <c r="E54" s="3" t="inlineStr">
        <is>
          <t>LKR</t>
        </is>
      </c>
      <c r="F54" s="4" t="n">
        <v>500</v>
      </c>
      <c r="G54" s="3" t="inlineStr">
        <is>
          <t>USD</t>
        </is>
      </c>
      <c r="H54" s="4" t="n">
        <v>2.69</v>
      </c>
      <c r="I54" s="5" t="n">
        <v/>
      </c>
      <c r="J54" s="3">
        <f>IF(C54="","",TODAY()-C54)</f>
        <v/>
      </c>
    </row>
    <row r="55">
      <c r="A55" s="5" t="inlineStr">
        <is>
          <t>UN0100</t>
        </is>
      </c>
      <c r="B55" s="3" t="inlineStr">
        <is>
          <t>63020002</t>
        </is>
      </c>
      <c r="C55" s="6" t="n">
        <v>44171</v>
      </c>
      <c r="D55" s="3" t="inlineStr">
        <is>
          <t>TN</t>
        </is>
      </c>
      <c r="E55" s="3" t="inlineStr">
        <is>
          <t>LKR</t>
        </is>
      </c>
      <c r="F55" s="4" t="n">
        <v>500</v>
      </c>
      <c r="G55" s="3" t="inlineStr">
        <is>
          <t>USD</t>
        </is>
      </c>
      <c r="H55" s="4" t="n">
        <v>2.69</v>
      </c>
      <c r="I55" s="5" t="n">
        <v/>
      </c>
      <c r="J55" s="3">
        <f>IF(C55="","",TODAY()-C55)</f>
        <v/>
      </c>
    </row>
    <row r="56">
      <c r="A56" s="5" t="inlineStr">
        <is>
          <t>UN0150</t>
        </is>
      </c>
      <c r="B56" s="3" t="inlineStr">
        <is>
          <t>63020002</t>
        </is>
      </c>
      <c r="C56" s="6" t="n">
        <v>44110</v>
      </c>
      <c r="D56" s="3" t="inlineStr">
        <is>
          <t>TN</t>
        </is>
      </c>
      <c r="E56" s="3" t="inlineStr">
        <is>
          <t>LKR</t>
        </is>
      </c>
      <c r="F56" s="4" t="n">
        <v>1132</v>
      </c>
      <c r="G56" s="3" t="inlineStr">
        <is>
          <t>USD</t>
        </is>
      </c>
      <c r="H56" s="4" t="n">
        <v>6.08</v>
      </c>
      <c r="I56" s="5" t="n">
        <v/>
      </c>
      <c r="J56" s="3">
        <f>IF(C56="","",TODAY()-C56)</f>
        <v/>
      </c>
    </row>
    <row r="57">
      <c r="A57" s="5" t="inlineStr">
        <is>
          <t>UN0100</t>
        </is>
      </c>
      <c r="B57" s="3" t="inlineStr">
        <is>
          <t>63020002</t>
        </is>
      </c>
      <c r="C57" s="6" t="n">
        <v>44171</v>
      </c>
      <c r="D57" s="3" t="inlineStr">
        <is>
          <t>TN</t>
        </is>
      </c>
      <c r="E57" s="3" t="inlineStr">
        <is>
          <t>LKR</t>
        </is>
      </c>
      <c r="F57" s="4" t="n">
        <v>10001000</v>
      </c>
      <c r="G57" s="3" t="inlineStr">
        <is>
          <t>USD</t>
        </is>
      </c>
      <c r="H57" s="4" t="n">
        <v>53708.18</v>
      </c>
      <c r="I57" s="5" t="n">
        <v/>
      </c>
      <c r="J57" s="3">
        <f>IF(C57="","",TODAY()-C57)</f>
        <v/>
      </c>
    </row>
    <row r="58">
      <c r="A58" s="5" t="inlineStr">
        <is>
          <t>UN0150</t>
        </is>
      </c>
      <c r="B58" s="3" t="inlineStr">
        <is>
          <t>63020002</t>
        </is>
      </c>
      <c r="C58" s="6" t="n">
        <v>44110</v>
      </c>
      <c r="D58" s="3" t="inlineStr">
        <is>
          <t>TN</t>
        </is>
      </c>
      <c r="E58" s="3" t="inlineStr">
        <is>
          <t>LKR</t>
        </is>
      </c>
      <c r="F58" s="4" t="n">
        <v>1905431</v>
      </c>
      <c r="G58" s="3" t="inlineStr">
        <is>
          <t>USD</t>
        </is>
      </c>
      <c r="H58" s="4" t="n">
        <v>10232.7</v>
      </c>
      <c r="I58" s="5" t="inlineStr">
        <is>
          <t>TUNF T 330578</t>
        </is>
      </c>
      <c r="J58" s="3">
        <f>IF(C58="","",TODAY()-C58)</f>
        <v/>
      </c>
    </row>
    <row r="59">
      <c r="A59" s="5" t="inlineStr">
        <is>
          <t>UN0150</t>
        </is>
      </c>
      <c r="B59" s="3" t="inlineStr">
        <is>
          <t>63020002</t>
        </is>
      </c>
      <c r="C59" s="6" t="n">
        <v>44110</v>
      </c>
      <c r="D59" s="3" t="inlineStr">
        <is>
          <t>TN</t>
        </is>
      </c>
      <c r="E59" s="3" t="inlineStr">
        <is>
          <t>LKR</t>
        </is>
      </c>
      <c r="F59" s="4" t="n">
        <v>1905431</v>
      </c>
      <c r="G59" s="3" t="inlineStr">
        <is>
          <t>USD</t>
        </is>
      </c>
      <c r="H59" s="4" t="n">
        <v>10232.7</v>
      </c>
      <c r="I59" s="5" t="inlineStr">
        <is>
          <t>TUNF T 330578</t>
        </is>
      </c>
      <c r="J59" s="3">
        <f>IF(C59="","",TODAY()-C59)</f>
        <v/>
      </c>
    </row>
    <row r="60">
      <c r="A60" s="5" t="inlineStr">
        <is>
          <t>UN0151</t>
        </is>
      </c>
      <c r="B60" s="3" t="inlineStr">
        <is>
          <t>63020002</t>
        </is>
      </c>
      <c r="C60" s="6" t="n">
        <v>44171</v>
      </c>
      <c r="D60" s="3" t="inlineStr">
        <is>
          <t>TN</t>
        </is>
      </c>
      <c r="E60" s="3" t="inlineStr">
        <is>
          <t>LKR</t>
        </is>
      </c>
      <c r="F60" s="4" t="n">
        <v>-319396</v>
      </c>
      <c r="G60" s="3" t="inlineStr">
        <is>
          <t>USD</t>
        </is>
      </c>
      <c r="H60" s="4" t="n">
        <v>-1715.25</v>
      </c>
      <c r="I60" s="5" t="inlineStr">
        <is>
          <t>Petty cEUsh rembursement 23.06.2020</t>
        </is>
      </c>
      <c r="J60" s="3">
        <f>IF(C60="","",TODAY()-C60)</f>
        <v/>
      </c>
    </row>
    <row r="61">
      <c r="A61" s="5" t="inlineStr">
        <is>
          <t>UN0100</t>
        </is>
      </c>
      <c r="B61" s="3" t="inlineStr">
        <is>
          <t>63020002</t>
        </is>
      </c>
      <c r="C61" s="6" t="n">
        <v>44171</v>
      </c>
      <c r="D61" s="3" t="inlineStr">
        <is>
          <t>TN</t>
        </is>
      </c>
      <c r="E61" s="3" t="inlineStr">
        <is>
          <t>LKR</t>
        </is>
      </c>
      <c r="F61" s="4" t="n">
        <v>-111357</v>
      </c>
      <c r="G61" s="3" t="inlineStr">
        <is>
          <t>USD</t>
        </is>
      </c>
      <c r="H61" s="4" t="n">
        <v>-598.02</v>
      </c>
      <c r="I61" s="5" t="inlineStr">
        <is>
          <t>Petty cEUsh rembursement 25.06.2020</t>
        </is>
      </c>
      <c r="J61" s="3">
        <f>IF(C61="","",TODAY()-C61)</f>
        <v/>
      </c>
    </row>
    <row r="62">
      <c r="A62" s="5" t="inlineStr">
        <is>
          <t>UN0151</t>
        </is>
      </c>
      <c r="B62" s="3" t="inlineStr">
        <is>
          <t>63020002</t>
        </is>
      </c>
      <c r="C62" s="6" t="n">
        <v>44171</v>
      </c>
      <c r="D62" s="3" t="inlineStr">
        <is>
          <t>TN</t>
        </is>
      </c>
      <c r="E62" s="3" t="inlineStr">
        <is>
          <t>LKR</t>
        </is>
      </c>
      <c r="F62" s="4" t="n">
        <v>-377330</v>
      </c>
      <c r="G62" s="3" t="inlineStr">
        <is>
          <t>USD</t>
        </is>
      </c>
      <c r="H62" s="4" t="n">
        <v>-2026.37</v>
      </c>
      <c r="I62" s="5" t="inlineStr">
        <is>
          <t>Petty cEUsh rembursement 25.06.2020</t>
        </is>
      </c>
      <c r="J62" s="3">
        <f>IF(C62="","",TODAY()-C62)</f>
        <v/>
      </c>
    </row>
    <row r="63">
      <c r="A63" s="7" t="n"/>
      <c r="B63" s="7" t="n"/>
      <c r="C63" s="7" t="n"/>
      <c r="D63" s="7" t="n"/>
      <c r="E63" s="7" t="n"/>
      <c r="F63" s="8">
        <f>SUM(F4:F62)</f>
        <v/>
      </c>
      <c r="G63" s="7" t="n"/>
      <c r="H63" s="8">
        <f>SUM(H4:H62)</f>
        <v/>
      </c>
      <c r="I63" s="7" t="n"/>
      <c r="J63" s="7" t="n"/>
    </row>
  </sheetData>
  <mergeCells count="1"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10" customWidth="1" min="9" max="9"/>
    <col width="26" customWidth="1" min="10" max="10"/>
  </cols>
  <sheetData>
    <row r="1"/>
    <row r="2">
      <c r="A2" s="1" t="inlineStr">
        <is>
          <t>Account: 63020011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63020011</t>
        </is>
      </c>
      <c r="C4" s="3" t="n">
        <v/>
      </c>
      <c r="D4" s="3" t="inlineStr">
        <is>
          <t>TN</t>
        </is>
      </c>
      <c r="E4" s="3" t="inlineStr">
        <is>
          <t>LKR</t>
        </is>
      </c>
      <c r="F4" s="4" t="n">
        <v>-65000000</v>
      </c>
      <c r="G4" s="3" t="inlineStr">
        <is>
          <t>USD</t>
        </is>
      </c>
      <c r="H4" s="4" t="n">
        <v>-349068.26</v>
      </c>
      <c r="I4" s="5" t="n">
        <v/>
      </c>
      <c r="J4" s="3">
        <f>IF(C4="","",TODAY()-C4)</f>
        <v/>
      </c>
    </row>
    <row r="5">
      <c r="A5" s="7" t="n"/>
      <c r="B5" s="7" t="n"/>
      <c r="C5" s="7" t="n"/>
      <c r="D5" s="7" t="n"/>
      <c r="E5" s="7" t="n"/>
      <c r="F5" s="8">
        <f>SUM(F4:F4)</f>
        <v/>
      </c>
      <c r="G5" s="7" t="n"/>
      <c r="H5" s="8">
        <f>SUM(H4:H4)</f>
        <v/>
      </c>
      <c r="I5" s="7" t="n"/>
      <c r="J5" s="7" t="n"/>
    </row>
  </sheetData>
  <mergeCells count="1"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30" customWidth="1" min="9" max="9"/>
    <col width="26" customWidth="1" min="10" max="10"/>
  </cols>
  <sheetData>
    <row r="1"/>
    <row r="2">
      <c r="A2" s="1" t="inlineStr">
        <is>
          <t>Account: 63020022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UN0150</t>
        </is>
      </c>
      <c r="B4" s="3" t="inlineStr">
        <is>
          <t>63020022</t>
        </is>
      </c>
      <c r="C4" s="3" t="n">
        <v/>
      </c>
      <c r="D4" s="3" t="inlineStr">
        <is>
          <t>TN</t>
        </is>
      </c>
      <c r="E4" s="3" t="inlineStr">
        <is>
          <t>USD</t>
        </is>
      </c>
      <c r="F4" s="4" t="n">
        <v>500040</v>
      </c>
      <c r="G4" s="3" t="inlineStr">
        <is>
          <t>USD</t>
        </is>
      </c>
      <c r="H4" s="4" t="n">
        <v>500040</v>
      </c>
      <c r="I4" s="5" t="inlineStr">
        <is>
          <t>FCTT2020 6952 wEUter EUBCDNG</t>
        </is>
      </c>
      <c r="J4" s="3">
        <f>IF(C4="","",TODAY()-C4)</f>
        <v/>
      </c>
    </row>
    <row r="5">
      <c r="A5" s="5" t="inlineStr">
        <is>
          <t>UN0150</t>
        </is>
      </c>
      <c r="B5" s="3" t="inlineStr">
        <is>
          <t>63020022</t>
        </is>
      </c>
      <c r="C5" s="3" t="n">
        <v/>
      </c>
      <c r="D5" s="3" t="inlineStr">
        <is>
          <t>JE</t>
        </is>
      </c>
      <c r="E5" s="3" t="inlineStr">
        <is>
          <t>USD</t>
        </is>
      </c>
      <c r="F5" s="4" t="n">
        <v>-500000</v>
      </c>
      <c r="G5" s="3" t="inlineStr">
        <is>
          <t>USD</t>
        </is>
      </c>
      <c r="H5" s="4" t="n">
        <v>-500000</v>
      </c>
      <c r="I5" s="5" t="n">
        <v/>
      </c>
      <c r="J5" s="3">
        <f>IF(C5="","",TODAY()-C5)</f>
        <v/>
      </c>
    </row>
    <row r="6">
      <c r="A6" s="5" t="inlineStr">
        <is>
          <t>UN0150</t>
        </is>
      </c>
      <c r="B6" s="3" t="inlineStr">
        <is>
          <t>63020022</t>
        </is>
      </c>
      <c r="C6" s="3" t="n">
        <v/>
      </c>
      <c r="D6" s="3" t="inlineStr">
        <is>
          <t>JE</t>
        </is>
      </c>
      <c r="E6" s="3" t="inlineStr">
        <is>
          <t>LKR</t>
        </is>
      </c>
      <c r="F6" s="4" t="n">
        <v>-15000000</v>
      </c>
      <c r="G6" s="3" t="inlineStr">
        <is>
          <t>USD</t>
        </is>
      </c>
      <c r="H6" s="4" t="n">
        <v>-80554.21000000001</v>
      </c>
      <c r="I6" s="5" t="n">
        <v/>
      </c>
      <c r="J6" s="3">
        <f>IF(C6="","",TODAY()-C6)</f>
        <v/>
      </c>
    </row>
    <row r="7">
      <c r="A7" s="5" t="inlineStr">
        <is>
          <t>UN0100</t>
        </is>
      </c>
      <c r="B7" s="3" t="inlineStr">
        <is>
          <t>63020022</t>
        </is>
      </c>
      <c r="C7" s="3" t="n">
        <v/>
      </c>
      <c r="D7" s="3" t="inlineStr">
        <is>
          <t>TN</t>
        </is>
      </c>
      <c r="E7" s="3" t="inlineStr">
        <is>
          <t>USD</t>
        </is>
      </c>
      <c r="F7" s="4" t="n">
        <v>1843.75</v>
      </c>
      <c r="G7" s="3" t="inlineStr">
        <is>
          <t>USD</t>
        </is>
      </c>
      <c r="H7" s="4" t="n">
        <v>1843.75</v>
      </c>
      <c r="I7" s="5" t="inlineStr">
        <is>
          <t>FCTT2020/7186 NTERHUSE</t>
        </is>
      </c>
      <c r="J7" s="3">
        <f>IF(C7="","",TODAY()-C7)</f>
        <v/>
      </c>
    </row>
    <row r="8">
      <c r="A8" s="7" t="n"/>
      <c r="B8" s="7" t="n"/>
      <c r="C8" s="7" t="n"/>
      <c r="D8" s="7" t="n"/>
      <c r="E8" s="7" t="n"/>
      <c r="F8" s="8">
        <f>SUM(F4:F7)</f>
        <v/>
      </c>
      <c r="G8" s="7" t="n"/>
      <c r="H8" s="8">
        <f>SUM(H4:H7)</f>
        <v/>
      </c>
      <c r="I8" s="7" t="n"/>
      <c r="J8" s="7" t="n"/>
    </row>
  </sheetData>
  <mergeCells count="1"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38" customWidth="1" min="9" max="9"/>
    <col width="28" customWidth="1" min="10" max="10"/>
  </cols>
  <sheetData>
    <row r="1"/>
    <row r="2">
      <c r="A2" s="1" t="inlineStr">
        <is>
          <t>Account: 63020051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63020051</t>
        </is>
      </c>
      <c r="C4" s="6" t="n">
        <v>44049</v>
      </c>
      <c r="D4" s="3" t="inlineStr">
        <is>
          <t>TN</t>
        </is>
      </c>
      <c r="E4" s="3" t="inlineStr">
        <is>
          <t>LKR</t>
        </is>
      </c>
      <c r="F4" s="4" t="n">
        <v>-82945.16</v>
      </c>
      <c r="G4" s="3" t="inlineStr">
        <is>
          <t>USD</t>
        </is>
      </c>
      <c r="H4" s="4" t="n">
        <v>-445.44</v>
      </c>
      <c r="I4" s="5" t="n">
        <v/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63020051</t>
        </is>
      </c>
      <c r="C5" s="6" t="n">
        <v>44049</v>
      </c>
      <c r="D5" s="3" t="inlineStr">
        <is>
          <t>TN</t>
        </is>
      </c>
      <c r="E5" s="3" t="inlineStr">
        <is>
          <t>LKR</t>
        </is>
      </c>
      <c r="F5" s="4" t="n">
        <v>-4159859.57</v>
      </c>
      <c r="G5" s="3" t="inlineStr">
        <is>
          <t>USD</t>
        </is>
      </c>
      <c r="H5" s="4" t="n">
        <v>-22339.61</v>
      </c>
      <c r="I5" s="5" t="n">
        <v/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63020051</t>
        </is>
      </c>
      <c r="C6" s="6" t="n">
        <v>43927</v>
      </c>
      <c r="D6" s="3" t="inlineStr">
        <is>
          <t>TN</t>
        </is>
      </c>
      <c r="E6" s="3" t="inlineStr">
        <is>
          <t>LKR</t>
        </is>
      </c>
      <c r="F6" s="4" t="n">
        <v>-25000000</v>
      </c>
      <c r="G6" s="3" t="inlineStr">
        <is>
          <t>USD</t>
        </is>
      </c>
      <c r="H6" s="4" t="n">
        <v>-134257.02</v>
      </c>
      <c r="I6" s="5" t="n">
        <v/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63020051</t>
        </is>
      </c>
      <c r="C7" s="6" t="n">
        <v>43927</v>
      </c>
      <c r="D7" s="3" t="inlineStr">
        <is>
          <t>TN</t>
        </is>
      </c>
      <c r="E7" s="3" t="inlineStr">
        <is>
          <t>LKR</t>
        </is>
      </c>
      <c r="F7" s="4" t="n">
        <v>-46350</v>
      </c>
      <c r="G7" s="3" t="inlineStr">
        <is>
          <t>USD</t>
        </is>
      </c>
      <c r="H7" s="4" t="n">
        <v>-248.91</v>
      </c>
      <c r="I7" s="5" t="inlineStr">
        <is>
          <t>EURREEURS SPECEUL EUDVEUNCE . .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63020051</t>
        </is>
      </c>
      <c r="C8" s="6" t="n">
        <v>43927</v>
      </c>
      <c r="D8" s="3" t="inlineStr">
        <is>
          <t>TN</t>
        </is>
      </c>
      <c r="E8" s="3" t="inlineStr">
        <is>
          <t>LKR</t>
        </is>
      </c>
      <c r="F8" s="4" t="n">
        <v>-95862.23</v>
      </c>
      <c r="G8" s="3" t="inlineStr">
        <is>
          <t>USD</t>
        </is>
      </c>
      <c r="H8" s="4" t="n">
        <v>-514.8099999999999</v>
      </c>
      <c r="I8" s="5" t="inlineStr">
        <is>
          <t>N PEUY REMBURSEMENT&amp;WEUGES EURR . .</t>
        </is>
      </c>
      <c r="J8" s="3">
        <f>IF(C8="","",TODAY()-C8)</f>
        <v/>
      </c>
    </row>
    <row r="9">
      <c r="A9" s="5" t="inlineStr">
        <is>
          <t>XT0150</t>
        </is>
      </c>
      <c r="B9" s="3" t="inlineStr">
        <is>
          <t>63020051</t>
        </is>
      </c>
      <c r="C9" s="6" t="n">
        <v>43927</v>
      </c>
      <c r="D9" s="3" t="inlineStr">
        <is>
          <t>TN</t>
        </is>
      </c>
      <c r="E9" s="3" t="inlineStr">
        <is>
          <t>LKR</t>
        </is>
      </c>
      <c r="F9" s="4" t="n">
        <v>-14287.38</v>
      </c>
      <c r="G9" s="3" t="inlineStr">
        <is>
          <t>USD</t>
        </is>
      </c>
      <c r="H9" s="4" t="n">
        <v>-76.73</v>
      </c>
      <c r="I9" s="5" t="inlineStr">
        <is>
          <t>N PEUY REMBURSEMENT&amp;WEUGES EURR .. .</t>
        </is>
      </c>
      <c r="J9" s="3">
        <f>IF(C9="","",TODAY()-C9)</f>
        <v/>
      </c>
    </row>
    <row r="10">
      <c r="A10" s="5" t="inlineStr">
        <is>
          <t>XT0150</t>
        </is>
      </c>
      <c r="B10" s="3" t="inlineStr">
        <is>
          <t>63020051</t>
        </is>
      </c>
      <c r="C10" s="6" t="n">
        <v>43927</v>
      </c>
      <c r="D10" s="3" t="inlineStr">
        <is>
          <t>TN</t>
        </is>
      </c>
      <c r="E10" s="3" t="inlineStr">
        <is>
          <t>LKR</t>
        </is>
      </c>
      <c r="F10" s="4" t="n">
        <v>-5964165</v>
      </c>
      <c r="G10" s="3" t="inlineStr">
        <is>
          <t>USD</t>
        </is>
      </c>
      <c r="H10" s="4" t="n">
        <v>-32029.24</v>
      </c>
      <c r="I10" s="5" t="n">
        <v/>
      </c>
      <c r="J10" s="3">
        <f>IF(C10="","",TODAY()-C10)</f>
        <v/>
      </c>
    </row>
    <row r="11">
      <c r="A11" s="7" t="n"/>
      <c r="B11" s="7" t="n"/>
      <c r="C11" s="7" t="n"/>
      <c r="D11" s="7" t="n"/>
      <c r="E11" s="7" t="n"/>
      <c r="F11" s="8">
        <f>SUM(F4:F10)</f>
        <v/>
      </c>
      <c r="G11" s="7" t="n"/>
      <c r="H11" s="8">
        <f>SUM(H4:H10)</f>
        <v/>
      </c>
      <c r="I11" s="7" t="n"/>
      <c r="J11" s="7" t="n"/>
    </row>
  </sheetData>
  <mergeCells count="1"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10" customWidth="1" min="9" max="9"/>
    <col width="26" customWidth="1" min="10" max="10"/>
  </cols>
  <sheetData>
    <row r="1"/>
    <row r="2">
      <c r="A2" s="1" t="inlineStr">
        <is>
          <t>Account: 63020601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UN0150</t>
        </is>
      </c>
      <c r="B4" s="3" t="inlineStr">
        <is>
          <t>63020601</t>
        </is>
      </c>
      <c r="C4" s="3" t="n">
        <v/>
      </c>
      <c r="D4" s="3" t="inlineStr">
        <is>
          <t>FZ</t>
        </is>
      </c>
      <c r="E4" s="3" t="inlineStr">
        <is>
          <t>LKR</t>
        </is>
      </c>
      <c r="F4" s="4" t="n">
        <v>-300</v>
      </c>
      <c r="G4" s="3" t="inlineStr">
        <is>
          <t>USD</t>
        </is>
      </c>
      <c r="H4" s="4" t="n">
        <v>-1.61</v>
      </c>
      <c r="I4" s="5" t="n">
        <v/>
      </c>
      <c r="J4" s="3">
        <f>IF(C4="","",TODAY()-C4)</f>
        <v/>
      </c>
    </row>
    <row r="5">
      <c r="A5" s="5" t="inlineStr">
        <is>
          <t>UN0100</t>
        </is>
      </c>
      <c r="B5" s="3" t="inlineStr">
        <is>
          <t>63020601</t>
        </is>
      </c>
      <c r="C5" s="3" t="n">
        <v/>
      </c>
      <c r="D5" s="3" t="inlineStr">
        <is>
          <t>FZ</t>
        </is>
      </c>
      <c r="E5" s="3" t="inlineStr">
        <is>
          <t>LKR</t>
        </is>
      </c>
      <c r="F5" s="4" t="n">
        <v>-5000000</v>
      </c>
      <c r="G5" s="3" t="inlineStr">
        <is>
          <t>USD</t>
        </is>
      </c>
      <c r="H5" s="4" t="n">
        <v>-26851.4</v>
      </c>
      <c r="I5" s="5" t="n">
        <v/>
      </c>
      <c r="J5" s="3">
        <f>IF(C5="","",TODAY()-C5)</f>
        <v/>
      </c>
    </row>
    <row r="6">
      <c r="A6" s="7" t="n"/>
      <c r="B6" s="7" t="n"/>
      <c r="C6" s="7" t="n"/>
      <c r="D6" s="7" t="n"/>
      <c r="E6" s="7" t="n"/>
      <c r="F6" s="8">
        <f>SUM(F4:F5)</f>
        <v/>
      </c>
      <c r="G6" s="7" t="n"/>
      <c r="H6" s="8">
        <f>SUM(H4:H5)</f>
        <v/>
      </c>
      <c r="I6" s="7" t="n"/>
      <c r="J6" s="7" t="n"/>
    </row>
  </sheetData>
  <mergeCells count="1"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2" customWidth="1" min="9" max="9"/>
    <col width="28" customWidth="1" min="10" max="10"/>
  </cols>
  <sheetData>
    <row r="1"/>
    <row r="2">
      <c r="A2" s="1" t="inlineStr">
        <is>
          <t>Account: 63020602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UN0100</t>
        </is>
      </c>
      <c r="B4" s="3" t="inlineStr">
        <is>
          <t>63020602</t>
        </is>
      </c>
      <c r="C4" s="6" t="n">
        <v>43836</v>
      </c>
      <c r="D4" s="3" t="inlineStr">
        <is>
          <t>FZ</t>
        </is>
      </c>
      <c r="E4" s="3" t="inlineStr">
        <is>
          <t>LKR</t>
        </is>
      </c>
      <c r="F4" s="4" t="n">
        <v>1031446.5</v>
      </c>
      <c r="G4" s="3" t="inlineStr">
        <is>
          <t>USD</t>
        </is>
      </c>
      <c r="H4" s="4" t="n">
        <v>5539.16</v>
      </c>
      <c r="I4" s="5" t="inlineStr">
        <is>
          <t>104000000023-CEURDS WEULKNG EUCC 104000000023-CEUR</t>
        </is>
      </c>
      <c r="J4" s="3">
        <f>IF(C4="","",TODAY()-C4)</f>
        <v/>
      </c>
    </row>
    <row r="5">
      <c r="A5" s="5" t="inlineStr">
        <is>
          <t>UN0150</t>
        </is>
      </c>
      <c r="B5" s="3" t="inlineStr">
        <is>
          <t>63020602</t>
        </is>
      </c>
      <c r="C5" s="6" t="n">
        <v>43836</v>
      </c>
      <c r="D5" s="3" t="inlineStr">
        <is>
          <t>FZ</t>
        </is>
      </c>
      <c r="E5" s="3" t="inlineStr">
        <is>
          <t>LKR</t>
        </is>
      </c>
      <c r="F5" s="4" t="n">
        <v>649375.91</v>
      </c>
      <c r="G5" s="3" t="inlineStr">
        <is>
          <t>USD</t>
        </is>
      </c>
      <c r="H5" s="4" t="n">
        <v>3487.33</v>
      </c>
      <c r="I5" s="5" t="inlineStr">
        <is>
          <t>104000000023-CEURDS WEULKNG EUCC 104000000023-CEUR</t>
        </is>
      </c>
      <c r="J5" s="3">
        <f>IF(C5="","",TODAY()-C5)</f>
        <v/>
      </c>
    </row>
    <row r="6">
      <c r="A6" s="5" t="inlineStr">
        <is>
          <t>UN0150</t>
        </is>
      </c>
      <c r="B6" s="3" t="inlineStr">
        <is>
          <t>63020602</t>
        </is>
      </c>
      <c r="C6" s="6" t="n">
        <v>43927</v>
      </c>
      <c r="D6" s="3" t="inlineStr">
        <is>
          <t>FZ</t>
        </is>
      </c>
      <c r="E6" s="3" t="inlineStr">
        <is>
          <t>LKR</t>
        </is>
      </c>
      <c r="F6" s="4" t="n">
        <v>4533014.12</v>
      </c>
      <c r="G6" s="3" t="inlineStr">
        <is>
          <t>USD</t>
        </is>
      </c>
      <c r="H6" s="4" t="n">
        <v>24343.56</v>
      </c>
      <c r="I6" s="5" t="inlineStr">
        <is>
          <t>OPAEU wEUter OPAEU wEUter</t>
        </is>
      </c>
      <c r="J6" s="3">
        <f>IF(C6="","",TODAY()-C6)</f>
        <v/>
      </c>
    </row>
    <row r="7">
      <c r="A7" s="5" t="inlineStr">
        <is>
          <t>UN0150</t>
        </is>
      </c>
      <c r="B7" s="3" t="inlineStr">
        <is>
          <t>63020602</t>
        </is>
      </c>
      <c r="C7" s="6" t="n">
        <v>43927</v>
      </c>
      <c r="D7" s="3" t="inlineStr">
        <is>
          <t>FZ</t>
        </is>
      </c>
      <c r="E7" s="3" t="inlineStr">
        <is>
          <t>LKR</t>
        </is>
      </c>
      <c r="F7" s="4" t="n">
        <v>2854848.5</v>
      </c>
      <c r="G7" s="3" t="inlineStr">
        <is>
          <t>USD</t>
        </is>
      </c>
      <c r="H7" s="4" t="n">
        <v>15331.34</v>
      </c>
      <c r="I7" s="5" t="inlineStr">
        <is>
          <t>OPAEU wEUter OPAEU wEUter</t>
        </is>
      </c>
      <c r="J7" s="3">
        <f>IF(C7="","",TODAY()-C7)</f>
        <v/>
      </c>
    </row>
    <row r="8">
      <c r="A8" s="5" t="inlineStr">
        <is>
          <t>UN0150</t>
        </is>
      </c>
      <c r="B8" s="3" t="inlineStr">
        <is>
          <t>63020602</t>
        </is>
      </c>
      <c r="C8" s="6" t="n">
        <v>43927</v>
      </c>
      <c r="D8" s="3" t="inlineStr">
        <is>
          <t>FZ</t>
        </is>
      </c>
      <c r="E8" s="3" t="inlineStr">
        <is>
          <t>LKR</t>
        </is>
      </c>
      <c r="F8" s="4" t="n">
        <v>4874200.81</v>
      </c>
      <c r="G8" s="3" t="inlineStr">
        <is>
          <t>USD</t>
        </is>
      </c>
      <c r="H8" s="4" t="n">
        <v>26175.83</v>
      </c>
      <c r="I8" s="5" t="inlineStr">
        <is>
          <t>OPAEU wEUter OPAEU wEUter</t>
        </is>
      </c>
      <c r="J8" s="3">
        <f>IF(C8="","",TODAY()-C8)</f>
        <v/>
      </c>
    </row>
    <row r="9">
      <c r="A9" s="5" t="inlineStr">
        <is>
          <t>UN0100</t>
        </is>
      </c>
      <c r="B9" s="3" t="inlineStr">
        <is>
          <t>63020602</t>
        </is>
      </c>
      <c r="C9" s="6" t="n">
        <v>44080</v>
      </c>
      <c r="D9" s="3" t="inlineStr">
        <is>
          <t>FZ</t>
        </is>
      </c>
      <c r="E9" s="3" t="inlineStr">
        <is>
          <t>LKR</t>
        </is>
      </c>
      <c r="F9" s="4" t="n">
        <v>27000</v>
      </c>
      <c r="G9" s="3" t="inlineStr">
        <is>
          <t>USD</t>
        </is>
      </c>
      <c r="H9" s="4" t="n">
        <v>145</v>
      </c>
      <c r="I9" s="5" t="inlineStr">
        <is>
          <t>75996278-D MEULKEUNTH 75996278-D MEULKEU</t>
        </is>
      </c>
      <c r="J9" s="3">
        <f>IF(C9="","",TODAY()-C9)</f>
        <v/>
      </c>
    </row>
    <row r="10">
      <c r="A10" s="5" t="inlineStr">
        <is>
          <t>UN0150</t>
        </is>
      </c>
      <c r="B10" s="3" t="inlineStr">
        <is>
          <t>63020602</t>
        </is>
      </c>
      <c r="C10" s="6" t="n">
        <v>43927</v>
      </c>
      <c r="D10" s="3" t="inlineStr">
        <is>
          <t>FZ</t>
        </is>
      </c>
      <c r="E10" s="3" t="inlineStr">
        <is>
          <t>LKR</t>
        </is>
      </c>
      <c r="F10" s="4" t="n">
        <v>37769.93</v>
      </c>
      <c r="G10" s="3" t="inlineStr">
        <is>
          <t>USD</t>
        </is>
      </c>
      <c r="H10" s="4" t="n">
        <v>202.84</v>
      </c>
      <c r="I10" s="5" t="inlineStr">
        <is>
          <t>85815122-W GEUNGEU 85815122-W GEUNGEU</t>
        </is>
      </c>
      <c r="J10" s="3">
        <f>IF(C10="","",TODAY()-C10)</f>
        <v/>
      </c>
    </row>
    <row r="11">
      <c r="A11" s="5" t="inlineStr">
        <is>
          <t>UN0150</t>
        </is>
      </c>
      <c r="B11" s="3" t="inlineStr">
        <is>
          <t>63020602</t>
        </is>
      </c>
      <c r="C11" s="6" t="n">
        <v>43927</v>
      </c>
      <c r="D11" s="3" t="inlineStr">
        <is>
          <t>FZ</t>
        </is>
      </c>
      <c r="E11" s="3" t="inlineStr">
        <is>
          <t>LKR</t>
        </is>
      </c>
      <c r="F11" s="4" t="n">
        <v>300</v>
      </c>
      <c r="G11" s="3" t="inlineStr">
        <is>
          <t>USD</t>
        </is>
      </c>
      <c r="H11" s="4" t="n">
        <v>1.61</v>
      </c>
      <c r="I11" s="5" t="inlineStr">
        <is>
          <t>FUND TUNF CMM FUND TUNF CMM</t>
        </is>
      </c>
      <c r="J11" s="3">
        <f>IF(C11="","",TODAY()-C11)</f>
        <v/>
      </c>
    </row>
    <row r="12">
      <c r="A12" s="5" t="inlineStr">
        <is>
          <t>UN0150</t>
        </is>
      </c>
      <c r="B12" s="3" t="inlineStr">
        <is>
          <t>63020602</t>
        </is>
      </c>
      <c r="C12" s="6" t="n">
        <v>43927</v>
      </c>
      <c r="D12" s="3" t="inlineStr">
        <is>
          <t>FZ</t>
        </is>
      </c>
      <c r="E12" s="3" t="inlineStr">
        <is>
          <t>LKR</t>
        </is>
      </c>
      <c r="F12" s="4" t="n">
        <v>144650.21</v>
      </c>
      <c r="G12" s="3" t="inlineStr">
        <is>
          <t>USD</t>
        </is>
      </c>
      <c r="H12" s="4" t="n">
        <v>776.8099999999999</v>
      </c>
      <c r="I12" s="5" t="inlineStr">
        <is>
          <t>FUND TUNF FUND TUNF</t>
        </is>
      </c>
      <c r="J12" s="3">
        <f>IF(C12="","",TODAY()-C12)</f>
        <v/>
      </c>
    </row>
    <row r="13">
      <c r="A13" s="5" t="inlineStr">
        <is>
          <t>UN0150</t>
        </is>
      </c>
      <c r="B13" s="3" t="inlineStr">
        <is>
          <t>63020602</t>
        </is>
      </c>
      <c r="C13" s="6" t="n">
        <v>43927</v>
      </c>
      <c r="D13" s="3" t="inlineStr">
        <is>
          <t>FZ</t>
        </is>
      </c>
      <c r="E13" s="3" t="inlineStr">
        <is>
          <t>LKR</t>
        </is>
      </c>
      <c r="F13" s="4" t="n">
        <v>350</v>
      </c>
      <c r="G13" s="3" t="inlineStr">
        <is>
          <t>USD</t>
        </is>
      </c>
      <c r="H13" s="4" t="n">
        <v>1.88</v>
      </c>
      <c r="I13" s="5" t="inlineStr">
        <is>
          <t>SLP TUNF CMM SLP TUNF CMM</t>
        </is>
      </c>
      <c r="J13" s="3">
        <f>IF(C13="","",TODAY()-C13)</f>
        <v/>
      </c>
    </row>
    <row r="14">
      <c r="A14" s="5" t="inlineStr">
        <is>
          <t>UN0150</t>
        </is>
      </c>
      <c r="B14" s="3" t="inlineStr">
        <is>
          <t>63020602</t>
        </is>
      </c>
      <c r="C14" s="6" t="n">
        <v>43927</v>
      </c>
      <c r="D14" s="3" t="inlineStr">
        <is>
          <t>FZ</t>
        </is>
      </c>
      <c r="E14" s="3" t="inlineStr">
        <is>
          <t>LKR</t>
        </is>
      </c>
      <c r="F14" s="4" t="n">
        <v>92303.64</v>
      </c>
      <c r="G14" s="3" t="inlineStr">
        <is>
          <t>USD</t>
        </is>
      </c>
      <c r="H14" s="4" t="n">
        <v>495.7</v>
      </c>
      <c r="I14" s="5" t="inlineStr">
        <is>
          <t>B-PEUD EPF-EU 035239 B-PEUD EPF-EU 03</t>
        </is>
      </c>
      <c r="J14" s="3">
        <f>IF(C14="","",TODAY()-C14)</f>
        <v/>
      </c>
    </row>
    <row r="15">
      <c r="A15" s="5" t="inlineStr">
        <is>
          <t>UN0150</t>
        </is>
      </c>
      <c r="B15" s="3" t="inlineStr">
        <is>
          <t>63020602</t>
        </is>
      </c>
      <c r="C15" s="6" t="n">
        <v>43927</v>
      </c>
      <c r="D15" s="3" t="inlineStr">
        <is>
          <t>FZ</t>
        </is>
      </c>
      <c r="E15" s="3" t="inlineStr">
        <is>
          <t>LKR</t>
        </is>
      </c>
      <c r="F15" s="4" t="n">
        <v>90125.64</v>
      </c>
      <c r="G15" s="3" t="inlineStr">
        <is>
          <t>USD</t>
        </is>
      </c>
      <c r="H15" s="4" t="n">
        <v>484</v>
      </c>
      <c r="I15" s="5" t="inlineStr">
        <is>
          <t>B-PEUD EPF-EU 035239 B-PEUD EPF-EU 03</t>
        </is>
      </c>
      <c r="J15" s="3">
        <f>IF(C15="","",TODAY()-C15)</f>
        <v/>
      </c>
    </row>
    <row r="16">
      <c r="A16" s="5" t="inlineStr">
        <is>
          <t>UN0150</t>
        </is>
      </c>
      <c r="B16" s="3" t="inlineStr">
        <is>
          <t>63020602</t>
        </is>
      </c>
      <c r="C16" s="6" t="n">
        <v>43927</v>
      </c>
      <c r="D16" s="3" t="inlineStr">
        <is>
          <t>FZ</t>
        </is>
      </c>
      <c r="E16" s="3" t="inlineStr">
        <is>
          <t>LKR</t>
        </is>
      </c>
      <c r="F16" s="4" t="n">
        <v>13845.55</v>
      </c>
      <c r="G16" s="3" t="inlineStr">
        <is>
          <t>USD</t>
        </is>
      </c>
      <c r="H16" s="4" t="n">
        <v>74.34999999999999</v>
      </c>
      <c r="I16" s="5" t="inlineStr">
        <is>
          <t>B-PEUD ETF-EU 035239 B-PEUD ETF-EU 03</t>
        </is>
      </c>
      <c r="J16" s="3">
        <f>IF(C16="","",TODAY()-C16)</f>
        <v/>
      </c>
    </row>
    <row r="17">
      <c r="A17" s="5" t="inlineStr">
        <is>
          <t>UN0150</t>
        </is>
      </c>
      <c r="B17" s="3" t="inlineStr">
        <is>
          <t>63020602</t>
        </is>
      </c>
      <c r="C17" s="6" t="n">
        <v>43927</v>
      </c>
      <c r="D17" s="3" t="inlineStr">
        <is>
          <t>FZ</t>
        </is>
      </c>
      <c r="E17" s="3" t="inlineStr">
        <is>
          <t>LKR</t>
        </is>
      </c>
      <c r="F17" s="4" t="n">
        <v>13518.85</v>
      </c>
      <c r="G17" s="3" t="inlineStr">
        <is>
          <t>USD</t>
        </is>
      </c>
      <c r="H17" s="4" t="n">
        <v>72.59999999999999</v>
      </c>
      <c r="I17" s="5" t="inlineStr">
        <is>
          <t>B-PEUD ETF-EU 035239 B-PEUD ETF-EU 03</t>
        </is>
      </c>
      <c r="J17" s="3">
        <f>IF(C17="","",TODAY()-C17)</f>
        <v/>
      </c>
    </row>
    <row r="18">
      <c r="A18" s="7" t="n"/>
      <c r="B18" s="7" t="n"/>
      <c r="C18" s="7" t="n"/>
      <c r="D18" s="7" t="n"/>
      <c r="E18" s="7" t="n"/>
      <c r="F18" s="8">
        <f>SUM(F4:F17)</f>
        <v/>
      </c>
      <c r="G18" s="7" t="n"/>
      <c r="H18" s="8">
        <f>SUM(H4:H17)</f>
        <v/>
      </c>
      <c r="I18" s="7" t="n"/>
      <c r="J18" s="7" t="n"/>
    </row>
  </sheetData>
  <mergeCells count="1"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39" customWidth="1" min="9" max="9"/>
    <col width="26" customWidth="1" min="10" max="10"/>
  </cols>
  <sheetData>
    <row r="1"/>
    <row r="2">
      <c r="A2" s="1" t="inlineStr">
        <is>
          <t>Account: 63020621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UN0150</t>
        </is>
      </c>
      <c r="B4" s="3" t="inlineStr">
        <is>
          <t>63020621</t>
        </is>
      </c>
      <c r="C4" s="6" t="n">
        <v>44049</v>
      </c>
      <c r="D4" s="3" t="inlineStr">
        <is>
          <t>FZ</t>
        </is>
      </c>
      <c r="E4" s="3" t="inlineStr">
        <is>
          <t>USD</t>
        </is>
      </c>
      <c r="F4" s="4" t="n">
        <v>-4375</v>
      </c>
      <c r="G4" s="3" t="inlineStr">
        <is>
          <t>USD</t>
        </is>
      </c>
      <c r="H4" s="4" t="n">
        <v>-4375</v>
      </c>
      <c r="I4" s="5" t="inlineStr">
        <is>
          <t xml:space="preserve">E/R LN 2506823 NT/REC E/R LN 2506823 </t>
        </is>
      </c>
      <c r="J4" s="3">
        <f>IF(C4="","",TODAY()-C4)</f>
        <v/>
      </c>
    </row>
    <row r="5">
      <c r="A5" s="7" t="n"/>
      <c r="B5" s="7" t="n"/>
      <c r="C5" s="7" t="n"/>
      <c r="D5" s="7" t="n"/>
      <c r="E5" s="7" t="n"/>
      <c r="F5" s="8">
        <f>SUM(F4:F4)</f>
        <v/>
      </c>
      <c r="G5" s="7" t="n"/>
      <c r="H5" s="8">
        <f>SUM(H4:H4)</f>
        <v/>
      </c>
      <c r="I5" s="7" t="n"/>
      <c r="J5" s="7" t="n"/>
    </row>
  </sheetData>
  <mergeCells count="1"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49" customWidth="1" min="9" max="9"/>
    <col width="28" customWidth="1" min="10" max="10"/>
  </cols>
  <sheetData>
    <row r="1"/>
    <row r="2">
      <c r="A2" s="1" t="inlineStr">
        <is>
          <t>Account: 63070001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63070001</t>
        </is>
      </c>
      <c r="C4" s="6" t="n">
        <v>43927</v>
      </c>
      <c r="D4" s="3" t="inlineStr">
        <is>
          <t>FZ</t>
        </is>
      </c>
      <c r="E4" s="3" t="inlineStr">
        <is>
          <t>USD</t>
        </is>
      </c>
      <c r="F4" s="4" t="n">
        <v>-201287.6</v>
      </c>
      <c r="G4" s="3" t="inlineStr">
        <is>
          <t>USD</t>
        </is>
      </c>
      <c r="H4" s="4" t="n">
        <v>-201287.6</v>
      </c>
      <c r="I4" s="5" t="inlineStr">
        <is>
          <t>NNREF RECEVED FRM TUNF T/FRM 001 EU/C LK FCBU 0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63070001</t>
        </is>
      </c>
      <c r="C5" s="6" t="n">
        <v>44080</v>
      </c>
      <c r="D5" s="3" t="inlineStr">
        <is>
          <t>FZ</t>
        </is>
      </c>
      <c r="E5" s="3" t="inlineStr">
        <is>
          <t>USD</t>
        </is>
      </c>
      <c r="F5" s="4" t="n">
        <v>-131361.18</v>
      </c>
      <c r="G5" s="3" t="inlineStr">
        <is>
          <t>USD</t>
        </is>
      </c>
      <c r="H5" s="4" t="n">
        <v>-131361.18</v>
      </c>
      <c r="I5" s="5" t="inlineStr">
        <is>
          <t>NNREF RECEVED FRM TUNF T/FRM 001 EU/C LK FCBU 0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63070001</t>
        </is>
      </c>
      <c r="C6" s="6" t="n">
        <v>44110</v>
      </c>
      <c r="D6" s="3" t="inlineStr">
        <is>
          <t>FZ</t>
        </is>
      </c>
      <c r="E6" s="3" t="inlineStr">
        <is>
          <t>USD</t>
        </is>
      </c>
      <c r="F6" s="4" t="n">
        <v>-441313</v>
      </c>
      <c r="G6" s="3" t="inlineStr">
        <is>
          <t>USD</t>
        </is>
      </c>
      <c r="H6" s="4" t="n">
        <v>-441313</v>
      </c>
      <c r="I6" s="5" t="inlineStr">
        <is>
          <t>NNREF RECEVED FRM TUNF T/FRM 001 EU/C LK FCBU 0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63070001</t>
        </is>
      </c>
      <c r="C7" s="6" t="n">
        <v>44141</v>
      </c>
      <c r="D7" s="3" t="inlineStr">
        <is>
          <t>FZ</t>
        </is>
      </c>
      <c r="E7" s="3" t="inlineStr">
        <is>
          <t>USD</t>
        </is>
      </c>
      <c r="F7" s="4" t="n">
        <v>-1558667.79</v>
      </c>
      <c r="G7" s="3" t="inlineStr">
        <is>
          <t>USD</t>
        </is>
      </c>
      <c r="H7" s="4" t="n">
        <v>-1558667.79</v>
      </c>
      <c r="I7" s="5" t="inlineStr">
        <is>
          <t>NNREF RECEVED FRM TUNF T/FRM 001 EU/C LK FCBU 0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63070001</t>
        </is>
      </c>
      <c r="C8" s="6" t="n">
        <v>44171</v>
      </c>
      <c r="D8" s="3" t="inlineStr">
        <is>
          <t>FZ</t>
        </is>
      </c>
      <c r="E8" s="3" t="inlineStr">
        <is>
          <t>USD</t>
        </is>
      </c>
      <c r="F8" s="4" t="n">
        <v>-199784.43</v>
      </c>
      <c r="G8" s="3" t="inlineStr">
        <is>
          <t>USD</t>
        </is>
      </c>
      <c r="H8" s="4" t="n">
        <v>-199784.43</v>
      </c>
      <c r="I8" s="5" t="inlineStr">
        <is>
          <t>NNREF RECEVED FRM TUNF T/FRM 001 EU/C LK FCBU 0</t>
        </is>
      </c>
      <c r="J8" s="3">
        <f>IF(C8="","",TODAY()-C8)</f>
        <v/>
      </c>
    </row>
    <row r="9">
      <c r="A9" s="5" t="inlineStr">
        <is>
          <t>XT0150</t>
        </is>
      </c>
      <c r="B9" s="3" t="inlineStr">
        <is>
          <t>63070001</t>
        </is>
      </c>
      <c r="C9" s="6" t="n">
        <v>44171</v>
      </c>
      <c r="D9" s="3" t="inlineStr">
        <is>
          <t>FZ</t>
        </is>
      </c>
      <c r="E9" s="3" t="inlineStr">
        <is>
          <t>USD</t>
        </is>
      </c>
      <c r="F9" s="4" t="n">
        <v>-77599.3</v>
      </c>
      <c r="G9" s="3" t="inlineStr">
        <is>
          <t>USD</t>
        </is>
      </c>
      <c r="H9" s="4" t="n">
        <v>-77599.3</v>
      </c>
      <c r="I9" s="5" t="inlineStr">
        <is>
          <t>NNREF RECEVED FRM TUNF T/FRM 001 EU/C LK FCBU 0</t>
        </is>
      </c>
      <c r="J9" s="3">
        <f>IF(C9="","",TODAY()-C9)</f>
        <v/>
      </c>
    </row>
    <row r="10">
      <c r="A10" s="5" t="inlineStr">
        <is>
          <t>XT0150</t>
        </is>
      </c>
      <c r="B10" s="3" t="inlineStr">
        <is>
          <t>63070001</t>
        </is>
      </c>
      <c r="C10" s="6" t="n">
        <v>44171</v>
      </c>
      <c r="D10" s="3" t="inlineStr">
        <is>
          <t>FZ</t>
        </is>
      </c>
      <c r="E10" s="3" t="inlineStr">
        <is>
          <t>USD</t>
        </is>
      </c>
      <c r="F10" s="4" t="n">
        <v>-285278.59</v>
      </c>
      <c r="G10" s="3" t="inlineStr">
        <is>
          <t>USD</t>
        </is>
      </c>
      <c r="H10" s="4" t="n">
        <v>-285278.59</v>
      </c>
      <c r="I10" s="5" t="inlineStr">
        <is>
          <t>NNREF RECEVED FRM TUNF T/FRM 001 EU/C LK FCBU 0</t>
        </is>
      </c>
      <c r="J10" s="3">
        <f>IF(C10="","",TODAY()-C10)</f>
        <v/>
      </c>
    </row>
    <row r="11">
      <c r="A11" s="5" t="inlineStr">
        <is>
          <t>XT0150</t>
        </is>
      </c>
      <c r="B11" s="3" t="inlineStr">
        <is>
          <t>63070001</t>
        </is>
      </c>
      <c r="C11" s="6" t="n">
        <v>44171</v>
      </c>
      <c r="D11" s="3" t="inlineStr">
        <is>
          <t>FZ</t>
        </is>
      </c>
      <c r="E11" s="3" t="inlineStr">
        <is>
          <t>USD</t>
        </is>
      </c>
      <c r="F11" s="4" t="n">
        <v>-644010.14</v>
      </c>
      <c r="G11" s="3" t="inlineStr">
        <is>
          <t>USD</t>
        </is>
      </c>
      <c r="H11" s="4" t="n">
        <v>-644010.14</v>
      </c>
      <c r="I11" s="5" t="inlineStr">
        <is>
          <t>NNREF RECEVED FRM TUNF T/FRM 001 EU/C LK FCBU 0</t>
        </is>
      </c>
      <c r="J11" s="3">
        <f>IF(C11="","",TODAY()-C11)</f>
        <v/>
      </c>
    </row>
    <row r="12">
      <c r="A12" s="5" t="inlineStr">
        <is>
          <t>XT0150</t>
        </is>
      </c>
      <c r="B12" s="3" t="inlineStr">
        <is>
          <t>63070001</t>
        </is>
      </c>
      <c r="C12" s="6" t="n">
        <v>44171</v>
      </c>
      <c r="D12" s="3" t="inlineStr">
        <is>
          <t>FZ</t>
        </is>
      </c>
      <c r="E12" s="3" t="inlineStr">
        <is>
          <t>USD</t>
        </is>
      </c>
      <c r="F12" s="4" t="n">
        <v>-91367.88</v>
      </c>
      <c r="G12" s="3" t="inlineStr">
        <is>
          <t>USD</t>
        </is>
      </c>
      <c r="H12" s="4" t="n">
        <v>-91367.88</v>
      </c>
      <c r="I12" s="5" t="inlineStr">
        <is>
          <t>NNREF RECEVED FRM TUNF T/FRM 001 EU/C LK FCBU 0</t>
        </is>
      </c>
      <c r="J12" s="3">
        <f>IF(C12="","",TODAY()-C12)</f>
        <v/>
      </c>
    </row>
    <row r="13">
      <c r="A13" s="5" t="inlineStr">
        <is>
          <t>XT0150</t>
        </is>
      </c>
      <c r="B13" s="3" t="inlineStr">
        <is>
          <t>63070001</t>
        </is>
      </c>
      <c r="C13" s="6" t="n">
        <v>44171</v>
      </c>
      <c r="D13" s="3" t="inlineStr">
        <is>
          <t>FZ</t>
        </is>
      </c>
      <c r="E13" s="3" t="inlineStr">
        <is>
          <t>USD</t>
        </is>
      </c>
      <c r="F13" s="4" t="n">
        <v>-13894.57</v>
      </c>
      <c r="G13" s="3" t="inlineStr">
        <is>
          <t>USD</t>
        </is>
      </c>
      <c r="H13" s="4" t="n">
        <v>-13894.57</v>
      </c>
      <c r="I13" s="5" t="inlineStr">
        <is>
          <t>NNREF RECEVED FRM TUNF T/FRM 001 EU/C LK FCBU 0</t>
        </is>
      </c>
      <c r="J13" s="3">
        <f>IF(C13="","",TODAY()-C13)</f>
        <v/>
      </c>
    </row>
    <row r="14">
      <c r="A14" s="5" t="inlineStr">
        <is>
          <t>XT0150</t>
        </is>
      </c>
      <c r="B14" s="3" t="inlineStr">
        <is>
          <t>63070001</t>
        </is>
      </c>
      <c r="C14" s="6" t="n">
        <v>44171</v>
      </c>
      <c r="D14" s="3" t="inlineStr">
        <is>
          <t>FZ</t>
        </is>
      </c>
      <c r="E14" s="3" t="inlineStr">
        <is>
          <t>USD</t>
        </is>
      </c>
      <c r="F14" s="4" t="n">
        <v>-13653.72</v>
      </c>
      <c r="G14" s="3" t="inlineStr">
        <is>
          <t>USD</t>
        </is>
      </c>
      <c r="H14" s="4" t="n">
        <v>-13653.72</v>
      </c>
      <c r="I14" s="5" t="inlineStr">
        <is>
          <t>NNREF RECEVED FRM TUNF T/FRM 001 EU/C LK FCBU 0</t>
        </is>
      </c>
      <c r="J14" s="3">
        <f>IF(C14="","",TODAY()-C14)</f>
        <v/>
      </c>
    </row>
    <row r="15">
      <c r="A15" s="7" t="n"/>
      <c r="B15" s="7" t="n"/>
      <c r="C15" s="7" t="n"/>
      <c r="D15" s="7" t="n"/>
      <c r="E15" s="7" t="n"/>
      <c r="F15" s="8">
        <f>SUM(F4:F14)</f>
        <v/>
      </c>
      <c r="G15" s="7" t="n"/>
      <c r="H15" s="8">
        <f>SUM(H4:H14)</f>
        <v/>
      </c>
      <c r="I15" s="7" t="n"/>
      <c r="J15" s="7" t="n"/>
    </row>
  </sheetData>
  <mergeCells count="1"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49" customWidth="1" min="9" max="9"/>
    <col width="28" customWidth="1" min="10" max="10"/>
  </cols>
  <sheetData>
    <row r="1"/>
    <row r="2">
      <c r="A2" s="1" t="inlineStr">
        <is>
          <t>Account: 63070002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XT0150</t>
        </is>
      </c>
      <c r="B4" s="3" t="inlineStr">
        <is>
          <t>63070002</t>
        </is>
      </c>
      <c r="C4" s="6" t="n">
        <v>43836</v>
      </c>
      <c r="D4" s="3" t="inlineStr">
        <is>
          <t>FZ</t>
        </is>
      </c>
      <c r="E4" s="3" t="inlineStr">
        <is>
          <t>USD</t>
        </is>
      </c>
      <c r="F4" s="4" t="n">
        <v>507723.04</v>
      </c>
      <c r="G4" s="3" t="inlineStr">
        <is>
          <t>USD</t>
        </is>
      </c>
      <c r="H4" s="4" t="n">
        <v>507723.04</v>
      </c>
      <c r="I4" s="5" t="inlineStr">
        <is>
          <t>NNREF RECEVED FRM TUNF T/FRM 001 EU/C LK FCBU 0</t>
        </is>
      </c>
      <c r="J4" s="3">
        <f>IF(C4="","",TODAY()-C4)</f>
        <v/>
      </c>
    </row>
    <row r="5">
      <c r="A5" s="5" t="inlineStr">
        <is>
          <t>XT0150</t>
        </is>
      </c>
      <c r="B5" s="3" t="inlineStr">
        <is>
          <t>63070002</t>
        </is>
      </c>
      <c r="C5" s="6" t="n">
        <v>43867</v>
      </c>
      <c r="D5" s="3" t="inlineStr">
        <is>
          <t>FZ</t>
        </is>
      </c>
      <c r="E5" s="3" t="inlineStr">
        <is>
          <t>USD</t>
        </is>
      </c>
      <c r="F5" s="4" t="n">
        <v>1672464.08</v>
      </c>
      <c r="G5" s="3" t="inlineStr">
        <is>
          <t>USD</t>
        </is>
      </c>
      <c r="H5" s="4" t="n">
        <v>1672464.08</v>
      </c>
      <c r="I5" s="5" t="inlineStr">
        <is>
          <t>NNREF RECEVED FRM TUNF T/FRM 001 EU/C LK FCBU 0</t>
        </is>
      </c>
      <c r="J5" s="3">
        <f>IF(C5="","",TODAY()-C5)</f>
        <v/>
      </c>
    </row>
    <row r="6">
      <c r="A6" s="5" t="inlineStr">
        <is>
          <t>XT0150</t>
        </is>
      </c>
      <c r="B6" s="3" t="inlineStr">
        <is>
          <t>63070002</t>
        </is>
      </c>
      <c r="C6" s="6" t="n">
        <v>43896</v>
      </c>
      <c r="D6" s="3" t="inlineStr">
        <is>
          <t>FZ</t>
        </is>
      </c>
      <c r="E6" s="3" t="inlineStr">
        <is>
          <t>USD</t>
        </is>
      </c>
      <c r="F6" s="4" t="n">
        <v>22359.69</v>
      </c>
      <c r="G6" s="3" t="inlineStr">
        <is>
          <t>USD</t>
        </is>
      </c>
      <c r="H6" s="4" t="n">
        <v>22359.69</v>
      </c>
      <c r="I6" s="5" t="inlineStr">
        <is>
          <t>NNREF RECEVED FRM TUNF T/FRM 001 EU/C LK FCBU 0</t>
        </is>
      </c>
      <c r="J6" s="3">
        <f>IF(C6="","",TODAY()-C6)</f>
        <v/>
      </c>
    </row>
    <row r="7">
      <c r="A7" s="5" t="inlineStr">
        <is>
          <t>XT0150</t>
        </is>
      </c>
      <c r="B7" s="3" t="inlineStr">
        <is>
          <t>63070002</t>
        </is>
      </c>
      <c r="C7" s="6" t="n">
        <v>44049</v>
      </c>
      <c r="D7" s="3" t="inlineStr">
        <is>
          <t>FZ</t>
        </is>
      </c>
      <c r="E7" s="3" t="inlineStr">
        <is>
          <t>USD</t>
        </is>
      </c>
      <c r="F7" s="4" t="n">
        <v>650730.35</v>
      </c>
      <c r="G7" s="3" t="inlineStr">
        <is>
          <t>USD</t>
        </is>
      </c>
      <c r="H7" s="4" t="n">
        <v>650730.35</v>
      </c>
      <c r="I7" s="5" t="inlineStr">
        <is>
          <t>NNREF RECEVED FRM TUNF T/FRM 001 EU/C LK FCBU 0</t>
        </is>
      </c>
      <c r="J7" s="3">
        <f>IF(C7="","",TODAY()-C7)</f>
        <v/>
      </c>
    </row>
    <row r="8">
      <c r="A8" s="5" t="inlineStr">
        <is>
          <t>XT0150</t>
        </is>
      </c>
      <c r="B8" s="3" t="inlineStr">
        <is>
          <t>63070002</t>
        </is>
      </c>
      <c r="C8" s="6" t="n">
        <v>44049</v>
      </c>
      <c r="D8" s="3" t="inlineStr">
        <is>
          <t>FZ</t>
        </is>
      </c>
      <c r="E8" s="3" t="inlineStr">
        <is>
          <t>USD</t>
        </is>
      </c>
      <c r="F8" s="4" t="n">
        <v>5554.4</v>
      </c>
      <c r="G8" s="3" t="inlineStr">
        <is>
          <t>USD</t>
        </is>
      </c>
      <c r="H8" s="4" t="n">
        <v>5554.4</v>
      </c>
      <c r="I8" s="5" t="inlineStr">
        <is>
          <t>NNREF RECEVED FRM TUNF T/FRM 001 EU/C LK FCBU 0</t>
        </is>
      </c>
      <c r="J8" s="3">
        <f>IF(C8="","",TODAY()-C8)</f>
        <v/>
      </c>
    </row>
    <row r="9">
      <c r="A9" s="5" t="inlineStr">
        <is>
          <t>XT0150</t>
        </is>
      </c>
      <c r="B9" s="3" t="inlineStr">
        <is>
          <t>63070002</t>
        </is>
      </c>
      <c r="C9" s="6" t="n">
        <v>44049</v>
      </c>
      <c r="D9" s="3" t="inlineStr">
        <is>
          <t>FZ</t>
        </is>
      </c>
      <c r="E9" s="3" t="inlineStr">
        <is>
          <t>USD</t>
        </is>
      </c>
      <c r="F9" s="4" t="n">
        <v>379234.27</v>
      </c>
      <c r="G9" s="3" t="inlineStr">
        <is>
          <t>USD</t>
        </is>
      </c>
      <c r="H9" s="4" t="n">
        <v>379234.27</v>
      </c>
      <c r="I9" s="5" t="inlineStr">
        <is>
          <t>NNREF RECEVED FRM TUNF T/FRM 001 EU/C LK FCBU 0</t>
        </is>
      </c>
      <c r="J9" s="3">
        <f>IF(C9="","",TODAY()-C9)</f>
        <v/>
      </c>
    </row>
    <row r="10">
      <c r="A10" s="5" t="inlineStr">
        <is>
          <t>XT0150</t>
        </is>
      </c>
      <c r="B10" s="3" t="inlineStr">
        <is>
          <t>63070002</t>
        </is>
      </c>
      <c r="C10" s="6" t="n">
        <v>44049</v>
      </c>
      <c r="D10" s="3" t="inlineStr">
        <is>
          <t>FZ</t>
        </is>
      </c>
      <c r="E10" s="3" t="inlineStr">
        <is>
          <t>USD</t>
        </is>
      </c>
      <c r="F10" s="4" t="n">
        <v>199907.41</v>
      </c>
      <c r="G10" s="3" t="inlineStr">
        <is>
          <t>USD</t>
        </is>
      </c>
      <c r="H10" s="4" t="n">
        <v>199907.41</v>
      </c>
      <c r="I10" s="5" t="inlineStr">
        <is>
          <t>NNREF RECEVED FRM TUNF T/FRM 001 EU/C LK FCBU 0</t>
        </is>
      </c>
      <c r="J10" s="3">
        <f>IF(C10="","",TODAY()-C10)</f>
        <v/>
      </c>
    </row>
    <row r="11">
      <c r="A11" s="5" t="inlineStr">
        <is>
          <t>XT0150</t>
        </is>
      </c>
      <c r="B11" s="3" t="inlineStr">
        <is>
          <t>63070002</t>
        </is>
      </c>
      <c r="C11" s="6" t="n">
        <v>44049</v>
      </c>
      <c r="D11" s="3" t="inlineStr">
        <is>
          <t>FZ</t>
        </is>
      </c>
      <c r="E11" s="3" t="inlineStr">
        <is>
          <t>USD</t>
        </is>
      </c>
      <c r="F11" s="4" t="n">
        <v>423172.66</v>
      </c>
      <c r="G11" s="3" t="inlineStr">
        <is>
          <t>USD</t>
        </is>
      </c>
      <c r="H11" s="4" t="n">
        <v>423172.66</v>
      </c>
      <c r="I11" s="5" t="inlineStr">
        <is>
          <t>NNREF RECEVED FRM TUNF T/FRM 001 EU/C LK FCBU 0</t>
        </is>
      </c>
      <c r="J11" s="3">
        <f>IF(C11="","",TODAY()-C11)</f>
        <v/>
      </c>
    </row>
    <row r="12">
      <c r="A12" s="5" t="inlineStr">
        <is>
          <t>XT0150</t>
        </is>
      </c>
      <c r="B12" s="3" t="inlineStr">
        <is>
          <t>63070002</t>
        </is>
      </c>
      <c r="C12" s="6" t="n">
        <v>44049</v>
      </c>
      <c r="D12" s="3" t="inlineStr">
        <is>
          <t>FZ</t>
        </is>
      </c>
      <c r="E12" s="3" t="inlineStr">
        <is>
          <t>USD</t>
        </is>
      </c>
      <c r="F12" s="4" t="n">
        <v>447711.41</v>
      </c>
      <c r="G12" s="3" t="inlineStr">
        <is>
          <t>USD</t>
        </is>
      </c>
      <c r="H12" s="4" t="n">
        <v>447711.41</v>
      </c>
      <c r="I12" s="5" t="inlineStr">
        <is>
          <t>NNREF RECEVED FRM TUNF T/FRM 001 EU/C LK FCBU 0</t>
        </is>
      </c>
      <c r="J12" s="3">
        <f>IF(C12="","",TODAY()-C12)</f>
        <v/>
      </c>
    </row>
    <row r="13">
      <c r="A13" s="7" t="n"/>
      <c r="B13" s="7" t="n"/>
      <c r="C13" s="7" t="n"/>
      <c r="D13" s="7" t="n"/>
      <c r="E13" s="7" t="n"/>
      <c r="F13" s="8">
        <f>SUM(F4:F12)</f>
        <v/>
      </c>
      <c r="G13" s="7" t="n"/>
      <c r="H13" s="8">
        <f>SUM(H4:H12)</f>
        <v/>
      </c>
      <c r="I13" s="7" t="n"/>
      <c r="J13" s="7" t="n"/>
    </row>
  </sheetData>
  <mergeCells count="1"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29" customWidth="1" min="9" max="9"/>
    <col width="26" customWidth="1" min="10" max="10"/>
  </cols>
  <sheetData>
    <row r="1"/>
    <row r="2">
      <c r="A2" s="1" t="inlineStr">
        <is>
          <t>Account: 63070012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UN0150</t>
        </is>
      </c>
      <c r="B4" s="3" t="inlineStr">
        <is>
          <t>63070012</t>
        </is>
      </c>
      <c r="C4" s="6" t="n">
        <v>43867</v>
      </c>
      <c r="D4" s="3" t="inlineStr">
        <is>
          <t>FZ</t>
        </is>
      </c>
      <c r="E4" s="3" t="inlineStr">
        <is>
          <t>USD</t>
        </is>
      </c>
      <c r="F4" s="4" t="n">
        <v>164170.63</v>
      </c>
      <c r="G4" s="3" t="inlineStr">
        <is>
          <t>USD</t>
        </is>
      </c>
      <c r="H4" s="4" t="n">
        <v>164170.63</v>
      </c>
      <c r="I4" s="5" t="inlineStr">
        <is>
          <t>TUNF TUNF T USD 01401397201</t>
        </is>
      </c>
      <c r="J4" s="3">
        <f>IF(C4="","",TODAY()-C4)</f>
        <v/>
      </c>
    </row>
    <row r="5">
      <c r="A5" s="5" t="inlineStr">
        <is>
          <t>UN0150</t>
        </is>
      </c>
      <c r="B5" s="3" t="inlineStr">
        <is>
          <t>63070012</t>
        </is>
      </c>
      <c r="C5" s="6" t="n">
        <v>44141</v>
      </c>
      <c r="D5" s="3" t="inlineStr">
        <is>
          <t>FZ</t>
        </is>
      </c>
      <c r="E5" s="3" t="inlineStr">
        <is>
          <t>USD</t>
        </is>
      </c>
      <c r="F5" s="4" t="n">
        <v>86680.83</v>
      </c>
      <c r="G5" s="3" t="inlineStr">
        <is>
          <t>USD</t>
        </is>
      </c>
      <c r="H5" s="4" t="n">
        <v>86680.83</v>
      </c>
      <c r="I5" s="5" t="inlineStr">
        <is>
          <t>TUNF TUNF T USD 01401397201</t>
        </is>
      </c>
      <c r="J5" s="3">
        <f>IF(C5="","",TODAY()-C5)</f>
        <v/>
      </c>
    </row>
    <row r="6">
      <c r="A6" s="7" t="n"/>
      <c r="B6" s="7" t="n"/>
      <c r="C6" s="7" t="n"/>
      <c r="D6" s="7" t="n"/>
      <c r="E6" s="7" t="n"/>
      <c r="F6" s="8">
        <f>SUM(F4:F5)</f>
        <v/>
      </c>
      <c r="G6" s="7" t="n"/>
      <c r="H6" s="8">
        <f>SUM(H4:H5)</f>
        <v/>
      </c>
      <c r="I6" s="7" t="n"/>
      <c r="J6" s="7" t="n"/>
    </row>
  </sheetData>
  <mergeCells count="1"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51" customWidth="1" min="9" max="9"/>
    <col width="28" customWidth="1" min="10" max="10"/>
  </cols>
  <sheetData>
    <row r="1"/>
    <row r="2">
      <c r="A2" s="1" t="inlineStr">
        <is>
          <t>Account: 63070501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UN0150</t>
        </is>
      </c>
      <c r="B4" s="3" t="inlineStr">
        <is>
          <t>63070501</t>
        </is>
      </c>
      <c r="C4" s="6" t="n">
        <v>43836</v>
      </c>
      <c r="D4" s="3" t="inlineStr">
        <is>
          <t>FZ</t>
        </is>
      </c>
      <c r="E4" s="3" t="inlineStr">
        <is>
          <t>LKR</t>
        </is>
      </c>
      <c r="F4" s="4" t="n">
        <v>-78510.5</v>
      </c>
      <c r="G4" s="3" t="inlineStr">
        <is>
          <t>USD</t>
        </is>
      </c>
      <c r="H4" s="4" t="n">
        <v>-421.62</v>
      </c>
      <c r="I4" s="5" t="inlineStr">
        <is>
          <t>EDT NTEREST 30EUPR2020 T 29MEUY2020</t>
        </is>
      </c>
      <c r="J4" s="3">
        <f>IF(C4="","",TODAY()-C4)</f>
        <v/>
      </c>
    </row>
    <row r="5">
      <c r="A5" s="5" t="inlineStr">
        <is>
          <t>UN0150</t>
        </is>
      </c>
      <c r="B5" s="3" t="inlineStr">
        <is>
          <t>63070501</t>
        </is>
      </c>
      <c r="C5" s="6" t="n">
        <v>43836</v>
      </c>
      <c r="D5" s="3" t="inlineStr">
        <is>
          <t>FZ</t>
        </is>
      </c>
      <c r="E5" s="3" t="inlineStr">
        <is>
          <t>LKR</t>
        </is>
      </c>
      <c r="F5" s="4" t="n">
        <v>-28253768.6</v>
      </c>
      <c r="G5" s="3" t="inlineStr">
        <is>
          <t>USD</t>
        </is>
      </c>
      <c r="H5" s="4" t="n">
        <v>-151730.67</v>
      </c>
      <c r="I5" s="5" t="inlineStr">
        <is>
          <t>NNREF EUBCNSFER FRM 001-270206-001 001-270206-001</t>
        </is>
      </c>
      <c r="J5" s="3">
        <f>IF(C5="","",TODAY()-C5)</f>
        <v/>
      </c>
    </row>
    <row r="6">
      <c r="A6" s="5" t="inlineStr">
        <is>
          <t>UN0150</t>
        </is>
      </c>
      <c r="B6" s="3" t="inlineStr">
        <is>
          <t>63070501</t>
        </is>
      </c>
      <c r="C6" s="6" t="n">
        <v>43896</v>
      </c>
      <c r="D6" s="3" t="inlineStr">
        <is>
          <t>FZ</t>
        </is>
      </c>
      <c r="E6" s="3" t="inlineStr">
        <is>
          <t>LKR</t>
        </is>
      </c>
      <c r="F6" s="4" t="n">
        <v>-25225607.81</v>
      </c>
      <c r="G6" s="3" t="inlineStr">
        <is>
          <t>USD</t>
        </is>
      </c>
      <c r="H6" s="4" t="n">
        <v>-135468.6</v>
      </c>
      <c r="I6" s="5" t="inlineStr">
        <is>
          <t>NNREF EUBCNSFER FRM 001-270206-001 001-270206-001</t>
        </is>
      </c>
      <c r="J6" s="3">
        <f>IF(C6="","",TODAY()-C6)</f>
        <v/>
      </c>
    </row>
    <row r="7">
      <c r="A7" s="5" t="inlineStr">
        <is>
          <t>UN0150</t>
        </is>
      </c>
      <c r="B7" s="3" t="inlineStr">
        <is>
          <t>63070501</t>
        </is>
      </c>
      <c r="C7" s="6" t="n">
        <v>43927</v>
      </c>
      <c r="D7" s="3" t="inlineStr">
        <is>
          <t>FZ</t>
        </is>
      </c>
      <c r="E7" s="3" t="inlineStr">
        <is>
          <t>LKR</t>
        </is>
      </c>
      <c r="F7" s="4" t="n">
        <v>-26060577.79</v>
      </c>
      <c r="G7" s="3" t="inlineStr">
        <is>
          <t>USD</t>
        </is>
      </c>
      <c r="H7" s="4" t="n">
        <v>-139952.62</v>
      </c>
      <c r="I7" s="5" t="inlineStr">
        <is>
          <t>NNREF EUBCNSFER FRM 001-270206-001 001-270206-001</t>
        </is>
      </c>
      <c r="J7" s="3">
        <f>IF(C7="","",TODAY()-C7)</f>
        <v/>
      </c>
    </row>
    <row r="8">
      <c r="A8" s="5" t="inlineStr">
        <is>
          <t>UN0150</t>
        </is>
      </c>
      <c r="B8" s="3" t="inlineStr">
        <is>
          <t>63070501</t>
        </is>
      </c>
      <c r="C8" s="6" t="n">
        <v>44049</v>
      </c>
      <c r="D8" s="3" t="inlineStr">
        <is>
          <t>FZ</t>
        </is>
      </c>
      <c r="E8" s="3" t="inlineStr">
        <is>
          <t>LKR</t>
        </is>
      </c>
      <c r="F8" s="4" t="n">
        <v>-157888421.12</v>
      </c>
      <c r="G8" s="3" t="inlineStr">
        <is>
          <t>USD</t>
        </is>
      </c>
      <c r="H8" s="4" t="n">
        <v>-847905.17</v>
      </c>
      <c r="I8" s="5" t="inlineStr">
        <is>
          <t>NNREF EUBCNSFER FRM 001-270206-001 001-270206-001</t>
        </is>
      </c>
      <c r="J8" s="3">
        <f>IF(C8="","",TODAY()-C8)</f>
        <v/>
      </c>
    </row>
    <row r="9">
      <c r="A9" s="5" t="inlineStr">
        <is>
          <t>UN0150</t>
        </is>
      </c>
      <c r="B9" s="3" t="inlineStr">
        <is>
          <t>63070501</t>
        </is>
      </c>
      <c r="C9" s="6" t="n">
        <v>44080</v>
      </c>
      <c r="D9" s="3" t="inlineStr">
        <is>
          <t>FZ</t>
        </is>
      </c>
      <c r="E9" s="3" t="inlineStr">
        <is>
          <t>LKR</t>
        </is>
      </c>
      <c r="F9" s="4" t="n">
        <v>-24275518.02</v>
      </c>
      <c r="G9" s="3" t="inlineStr">
        <is>
          <t>USD</t>
        </is>
      </c>
      <c r="H9" s="4" t="n">
        <v>-130366.35</v>
      </c>
      <c r="I9" s="5" t="inlineStr">
        <is>
          <t>NNREF EUBCNSFER FRM 001-270206-001 001-270206-001</t>
        </is>
      </c>
      <c r="J9" s="3">
        <f>IF(C9="","",TODAY()-C9)</f>
        <v/>
      </c>
    </row>
    <row r="10">
      <c r="A10" s="5" t="inlineStr">
        <is>
          <t>UN0150</t>
        </is>
      </c>
      <c r="B10" s="3" t="inlineStr">
        <is>
          <t>63070501</t>
        </is>
      </c>
      <c r="C10" s="6" t="n">
        <v>44110</v>
      </c>
      <c r="D10" s="3" t="inlineStr">
        <is>
          <t>FZ</t>
        </is>
      </c>
      <c r="E10" s="3" t="inlineStr">
        <is>
          <t>LKR</t>
        </is>
      </c>
      <c r="F10" s="4" t="n">
        <v>-24186394.94</v>
      </c>
      <c r="G10" s="3" t="inlineStr">
        <is>
          <t>USD</t>
        </is>
      </c>
      <c r="H10" s="4" t="n">
        <v>-129887.73</v>
      </c>
      <c r="I10" s="5" t="inlineStr">
        <is>
          <t>NNREF EUBCNSFER FRM 001-270206-001 001-270206-001</t>
        </is>
      </c>
      <c r="J10" s="3">
        <f>IF(C10="","",TODAY()-C10)</f>
        <v/>
      </c>
    </row>
    <row r="11">
      <c r="A11" s="5" t="inlineStr">
        <is>
          <t>UN0150</t>
        </is>
      </c>
      <c r="B11" s="3" t="inlineStr">
        <is>
          <t>63070501</t>
        </is>
      </c>
      <c r="C11" s="6" t="n">
        <v>44171</v>
      </c>
      <c r="D11" s="3" t="inlineStr">
        <is>
          <t>FZ</t>
        </is>
      </c>
      <c r="E11" s="3" t="inlineStr">
        <is>
          <t>LKR</t>
        </is>
      </c>
      <c r="F11" s="4" t="n">
        <v>-15269558.62</v>
      </c>
      <c r="G11" s="3" t="inlineStr">
        <is>
          <t>USD</t>
        </is>
      </c>
      <c r="H11" s="4" t="n">
        <v>-82001.82000000001</v>
      </c>
      <c r="I11" s="5" t="inlineStr">
        <is>
          <t>NNREF EUBCNSFER FRM 001-270206-001 001-270206-001</t>
        </is>
      </c>
      <c r="J11" s="3">
        <f>IF(C11="","",TODAY()-C11)</f>
        <v/>
      </c>
    </row>
    <row r="12">
      <c r="A12" s="5" t="inlineStr">
        <is>
          <t>UN0150</t>
        </is>
      </c>
      <c r="B12" s="3" t="inlineStr">
        <is>
          <t>63070501</t>
        </is>
      </c>
      <c r="C12" s="6" t="n">
        <v>44171</v>
      </c>
      <c r="D12" s="3" t="inlineStr">
        <is>
          <t>FZ</t>
        </is>
      </c>
      <c r="E12" s="3" t="inlineStr">
        <is>
          <t>LKR</t>
        </is>
      </c>
      <c r="F12" s="4" t="n">
        <v>-15269558.62</v>
      </c>
      <c r="G12" s="3" t="inlineStr">
        <is>
          <t>USD</t>
        </is>
      </c>
      <c r="H12" s="4" t="n">
        <v>-82001.82000000001</v>
      </c>
      <c r="I12" s="5" t="inlineStr">
        <is>
          <t>NNREF EUBCNSFER FRM 001-270206-001 001-270206-001</t>
        </is>
      </c>
      <c r="J12" s="3">
        <f>IF(C12="","",TODAY()-C12)</f>
        <v/>
      </c>
    </row>
    <row r="13">
      <c r="A13" s="5" t="inlineStr">
        <is>
          <t>UN0150</t>
        </is>
      </c>
      <c r="B13" s="3" t="inlineStr">
        <is>
          <t>63070501</t>
        </is>
      </c>
      <c r="C13" s="6" t="n">
        <v>44171</v>
      </c>
      <c r="D13" s="3" t="inlineStr">
        <is>
          <t>FZ</t>
        </is>
      </c>
      <c r="E13" s="3" t="inlineStr">
        <is>
          <t>LKR</t>
        </is>
      </c>
      <c r="F13" s="4" t="n">
        <v>-15217125.29</v>
      </c>
      <c r="G13" s="3" t="inlineStr">
        <is>
          <t>USD</t>
        </is>
      </c>
      <c r="H13" s="4" t="n">
        <v>-81720.24000000001</v>
      </c>
      <c r="I13" s="5" t="inlineStr">
        <is>
          <t>NNREF EUBCNSFER FRM 001-270206-001 001-270206-001</t>
        </is>
      </c>
      <c r="J13" s="3">
        <f>IF(C13="","",TODAY()-C13)</f>
        <v/>
      </c>
    </row>
    <row r="14">
      <c r="A14" s="5" t="inlineStr">
        <is>
          <t>UN0150</t>
        </is>
      </c>
      <c r="B14" s="3" t="inlineStr">
        <is>
          <t>63070501</t>
        </is>
      </c>
      <c r="C14" s="6" t="n">
        <v>44171</v>
      </c>
      <c r="D14" s="3" t="inlineStr">
        <is>
          <t>FZ</t>
        </is>
      </c>
      <c r="E14" s="3" t="inlineStr">
        <is>
          <t>LKR</t>
        </is>
      </c>
      <c r="F14" s="4" t="n">
        <v>-11784184.77</v>
      </c>
      <c r="G14" s="3" t="inlineStr">
        <is>
          <t>USD</t>
        </is>
      </c>
      <c r="H14" s="4" t="n">
        <v>-63284.38</v>
      </c>
      <c r="I14" s="5" t="inlineStr">
        <is>
          <t>NNREF EUBCNSFER FRM 001-270206-001 001-270206-001</t>
        </is>
      </c>
      <c r="J14" s="3">
        <f>IF(C14="","",TODAY()-C14)</f>
        <v/>
      </c>
    </row>
    <row r="15">
      <c r="A15" s="5" t="inlineStr">
        <is>
          <t>UN0150</t>
        </is>
      </c>
      <c r="B15" s="3" t="inlineStr">
        <is>
          <t>63070501</t>
        </is>
      </c>
      <c r="C15" s="6" t="n">
        <v>44171</v>
      </c>
      <c r="D15" s="3" t="inlineStr">
        <is>
          <t>FZ</t>
        </is>
      </c>
      <c r="E15" s="3" t="inlineStr">
        <is>
          <t>LKR</t>
        </is>
      </c>
      <c r="F15" s="4" t="n">
        <v>-11095154.97</v>
      </c>
      <c r="G15" s="3" t="inlineStr">
        <is>
          <t>USD</t>
        </is>
      </c>
      <c r="H15" s="4" t="n">
        <v>-59584.1</v>
      </c>
      <c r="I15" s="5" t="inlineStr">
        <is>
          <t>NNREF EUBCNSFER FRM 001-270206-001 001-270206-001</t>
        </is>
      </c>
      <c r="J15" s="3">
        <f>IF(C15="","",TODAY()-C15)</f>
        <v/>
      </c>
    </row>
    <row r="16">
      <c r="A16" s="5" t="inlineStr">
        <is>
          <t>UN0150</t>
        </is>
      </c>
      <c r="B16" s="3" t="inlineStr">
        <is>
          <t>63070501</t>
        </is>
      </c>
      <c r="C16" s="6" t="n">
        <v>44171</v>
      </c>
      <c r="D16" s="3" t="inlineStr">
        <is>
          <t>FZ</t>
        </is>
      </c>
      <c r="E16" s="3" t="inlineStr">
        <is>
          <t>LKR</t>
        </is>
      </c>
      <c r="F16" s="4" t="n">
        <v>-8753261.119999999</v>
      </c>
      <c r="G16" s="3" t="inlineStr">
        <is>
          <t>USD</t>
        </is>
      </c>
      <c r="H16" s="4" t="n">
        <v>-47007.47</v>
      </c>
      <c r="I16" s="5" t="inlineStr">
        <is>
          <t>NNREF EUBCNSFER FRM 001-270206-001 001-270206-001</t>
        </is>
      </c>
      <c r="J16" s="3">
        <f>IF(C16="","",TODAY()-C16)</f>
        <v/>
      </c>
    </row>
    <row r="17">
      <c r="A17" s="5" t="inlineStr">
        <is>
          <t>UN0150</t>
        </is>
      </c>
      <c r="B17" s="3" t="inlineStr">
        <is>
          <t>63070501</t>
        </is>
      </c>
      <c r="C17" s="6" t="n">
        <v>44171</v>
      </c>
      <c r="D17" s="3" t="inlineStr">
        <is>
          <t>FZ</t>
        </is>
      </c>
      <c r="E17" s="3" t="inlineStr">
        <is>
          <t>LKR</t>
        </is>
      </c>
      <c r="F17" s="4" t="n">
        <v>-8510209.58</v>
      </c>
      <c r="G17" s="3" t="inlineStr">
        <is>
          <t>USD</t>
        </is>
      </c>
      <c r="H17" s="4" t="n">
        <v>-45702.22</v>
      </c>
      <c r="I17" s="5" t="inlineStr">
        <is>
          <t>NNREF EUBCNSFER FRM 001-270206-001 001-270206-001</t>
        </is>
      </c>
      <c r="J17" s="3">
        <f>IF(C17="","",TODAY()-C17)</f>
        <v/>
      </c>
    </row>
    <row r="18">
      <c r="A18" s="5" t="inlineStr">
        <is>
          <t>UN0150</t>
        </is>
      </c>
      <c r="B18" s="3" t="inlineStr">
        <is>
          <t>63070501</t>
        </is>
      </c>
      <c r="C18" s="6" t="n">
        <v>44171</v>
      </c>
      <c r="D18" s="3" t="inlineStr">
        <is>
          <t>FZ</t>
        </is>
      </c>
      <c r="E18" s="3" t="inlineStr">
        <is>
          <t>LKR</t>
        </is>
      </c>
      <c r="F18" s="4" t="n">
        <v>-17196369.52</v>
      </c>
      <c r="G18" s="3" t="inlineStr">
        <is>
          <t>USD</t>
        </is>
      </c>
      <c r="H18" s="4" t="n">
        <v>-92349.33</v>
      </c>
      <c r="I18" s="5" t="inlineStr">
        <is>
          <t>NNREF EUBCNSFER FRM 001-270206-001 001-270206-001</t>
        </is>
      </c>
      <c r="J18" s="3">
        <f>IF(C18="","",TODAY()-C18)</f>
        <v/>
      </c>
    </row>
    <row r="19">
      <c r="A19" s="7" t="n"/>
      <c r="B19" s="7" t="n"/>
      <c r="C19" s="7" t="n"/>
      <c r="D19" s="7" t="n"/>
      <c r="E19" s="7" t="n"/>
      <c r="F19" s="8">
        <f>SUM(F4:F18)</f>
        <v/>
      </c>
      <c r="G19" s="7" t="n"/>
      <c r="H19" s="8">
        <f>SUM(H4:H18)</f>
        <v/>
      </c>
      <c r="I19" s="7" t="n"/>
      <c r="J19" s="7" t="n"/>
    </row>
  </sheetData>
  <mergeCells count="1"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9" customWidth="1" min="5" max="5"/>
    <col width="22" customWidth="1" min="6" max="6"/>
    <col width="16" customWidth="1" min="7" max="7"/>
    <col width="26" customWidth="1" min="8" max="8"/>
    <col width="44" customWidth="1" min="9" max="9"/>
    <col width="28" customWidth="1" min="10" max="10"/>
  </cols>
  <sheetData>
    <row r="1"/>
    <row r="2">
      <c r="A2" s="1" t="inlineStr">
        <is>
          <t>Account: 63070502  |  As at 17.02.2026</t>
        </is>
      </c>
    </row>
    <row r="3">
      <c r="A3" s="2" t="inlineStr">
        <is>
          <t>Comapany</t>
        </is>
      </c>
      <c r="B3" s="2" t="inlineStr">
        <is>
          <t>Account</t>
        </is>
      </c>
      <c r="C3" s="2" t="inlineStr">
        <is>
          <t>Document Date</t>
        </is>
      </c>
      <c r="D3" s="2" t="inlineStr">
        <is>
          <t>Document Type</t>
        </is>
      </c>
      <c r="E3" s="2" t="inlineStr">
        <is>
          <t>Document currency</t>
        </is>
      </c>
      <c r="F3" s="2" t="inlineStr">
        <is>
          <t>Amount in doc. curr.</t>
        </is>
      </c>
      <c r="G3" s="2" t="inlineStr">
        <is>
          <t>Local Currency</t>
        </is>
      </c>
      <c r="H3" s="2" t="inlineStr">
        <is>
          <t>Amount in local currency</t>
        </is>
      </c>
      <c r="I3" s="2" t="inlineStr">
        <is>
          <t>Text</t>
        </is>
      </c>
      <c r="J3" s="2" t="inlineStr">
        <is>
          <t>Doc Ageing</t>
        </is>
      </c>
    </row>
    <row r="4">
      <c r="A4" s="5" t="inlineStr">
        <is>
          <t>UN0150</t>
        </is>
      </c>
      <c r="B4" s="3" t="inlineStr">
        <is>
          <t>63070502</t>
        </is>
      </c>
      <c r="C4" s="6" t="n">
        <v>43836</v>
      </c>
      <c r="D4" s="3" t="inlineStr">
        <is>
          <t>FZ</t>
        </is>
      </c>
      <c r="E4" s="3" t="inlineStr">
        <is>
          <t>LKR</t>
        </is>
      </c>
      <c r="F4" s="4" t="n">
        <v>28327427.37</v>
      </c>
      <c r="G4" s="3" t="inlineStr">
        <is>
          <t>USD</t>
        </is>
      </c>
      <c r="H4" s="4" t="n">
        <v>152126.24</v>
      </c>
      <c r="I4" s="5" t="inlineStr">
        <is>
          <t>NNREF EUBCNSFER REVERSEUL T 001-270206-001</t>
        </is>
      </c>
      <c r="J4" s="3">
        <f>IF(C4="","",TODAY()-C4)</f>
        <v/>
      </c>
    </row>
    <row r="5">
      <c r="A5" s="5" t="inlineStr">
        <is>
          <t>UN0150</t>
        </is>
      </c>
      <c r="B5" s="3" t="inlineStr">
        <is>
          <t>63070502</t>
        </is>
      </c>
      <c r="C5" s="6" t="n">
        <v>43867</v>
      </c>
      <c r="D5" s="3" t="inlineStr">
        <is>
          <t>FZ</t>
        </is>
      </c>
      <c r="E5" s="3" t="inlineStr">
        <is>
          <t>LKR</t>
        </is>
      </c>
      <c r="F5" s="4" t="n">
        <v>28332279.1</v>
      </c>
      <c r="G5" s="3" t="inlineStr">
        <is>
          <t>USD</t>
        </is>
      </c>
      <c r="H5" s="4" t="n">
        <v>152152.3</v>
      </c>
      <c r="I5" s="5" t="inlineStr">
        <is>
          <t>NNREF EUBCNSFER REVERSEUL T 001-270206-001</t>
        </is>
      </c>
      <c r="J5" s="3">
        <f>IF(C5="","",TODAY()-C5)</f>
        <v/>
      </c>
    </row>
    <row r="6">
      <c r="A6" s="5" t="inlineStr">
        <is>
          <t>UN0150</t>
        </is>
      </c>
      <c r="B6" s="3" t="inlineStr">
        <is>
          <t>63070502</t>
        </is>
      </c>
      <c r="C6" s="6" t="n">
        <v>43896</v>
      </c>
      <c r="D6" s="3" t="inlineStr">
        <is>
          <t>FZ</t>
        </is>
      </c>
      <c r="E6" s="3" t="inlineStr">
        <is>
          <t>LKR</t>
        </is>
      </c>
      <c r="F6" s="4" t="n">
        <v>27391837.56</v>
      </c>
      <c r="G6" s="3" t="inlineStr">
        <is>
          <t>USD</t>
        </is>
      </c>
      <c r="H6" s="4" t="n">
        <v>147101.86</v>
      </c>
      <c r="I6" s="5" t="inlineStr">
        <is>
          <t>NNREF EUBCNSFER REVERSEUL T 001-270206-001</t>
        </is>
      </c>
      <c r="J6" s="3">
        <f>IF(C6="","",TODAY()-C6)</f>
        <v/>
      </c>
    </row>
    <row r="7">
      <c r="A7" s="5" t="inlineStr">
        <is>
          <t>UN0150</t>
        </is>
      </c>
      <c r="B7" s="3" t="inlineStr">
        <is>
          <t>63070502</t>
        </is>
      </c>
      <c r="C7" s="6" t="n">
        <v>43927</v>
      </c>
      <c r="D7" s="3" t="inlineStr">
        <is>
          <t>FZ</t>
        </is>
      </c>
      <c r="E7" s="3" t="inlineStr">
        <is>
          <t>LKR</t>
        </is>
      </c>
      <c r="F7" s="4" t="n">
        <v>25225607.81</v>
      </c>
      <c r="G7" s="3" t="inlineStr">
        <is>
          <t>USD</t>
        </is>
      </c>
      <c r="H7" s="4" t="n">
        <v>135468.6</v>
      </c>
      <c r="I7" s="5" t="inlineStr">
        <is>
          <t>NNREF EUBCNSFER REVERSEUL T 001-270206-001</t>
        </is>
      </c>
      <c r="J7" s="3">
        <f>IF(C7="","",TODAY()-C7)</f>
        <v/>
      </c>
    </row>
    <row r="8">
      <c r="A8" s="5" t="inlineStr">
        <is>
          <t>UN0150</t>
        </is>
      </c>
      <c r="B8" s="3" t="inlineStr">
        <is>
          <t>63070502</t>
        </is>
      </c>
      <c r="C8" s="6" t="n">
        <v>44018</v>
      </c>
      <c r="D8" s="3" t="inlineStr">
        <is>
          <t>FZ</t>
        </is>
      </c>
      <c r="E8" s="3" t="inlineStr">
        <is>
          <t>LKR</t>
        </is>
      </c>
      <c r="F8" s="4" t="n">
        <v>26060577.79</v>
      </c>
      <c r="G8" s="3" t="inlineStr">
        <is>
          <t>USD</t>
        </is>
      </c>
      <c r="H8" s="4" t="n">
        <v>139952.62</v>
      </c>
      <c r="I8" s="5" t="inlineStr">
        <is>
          <t>NNREF EUBCNSFER REVERSEUL T 001-270206-001</t>
        </is>
      </c>
      <c r="J8" s="3">
        <f>IF(C8="","",TODAY()-C8)</f>
        <v/>
      </c>
    </row>
    <row r="9">
      <c r="A9" s="5" t="inlineStr">
        <is>
          <t>UN0150</t>
        </is>
      </c>
      <c r="B9" s="3" t="inlineStr">
        <is>
          <t>63070502</t>
        </is>
      </c>
      <c r="C9" s="6" t="n">
        <v>44049</v>
      </c>
      <c r="D9" s="3" t="inlineStr">
        <is>
          <t>FZ</t>
        </is>
      </c>
      <c r="E9" s="3" t="inlineStr">
        <is>
          <t>LKR</t>
        </is>
      </c>
      <c r="F9" s="4" t="n">
        <v>26060577.79</v>
      </c>
      <c r="G9" s="3" t="inlineStr">
        <is>
          <t>USD</t>
        </is>
      </c>
      <c r="H9" s="4" t="n">
        <v>139952.62</v>
      </c>
      <c r="I9" s="5" t="inlineStr">
        <is>
          <t>NNREF EUBCNSFER REVERSEUL T 001-270206-001</t>
        </is>
      </c>
      <c r="J9" s="3">
        <f>IF(C9="","",TODAY()-C9)</f>
        <v/>
      </c>
    </row>
    <row r="10">
      <c r="A10" s="5" t="inlineStr">
        <is>
          <t>UN0150</t>
        </is>
      </c>
      <c r="B10" s="3" t="inlineStr">
        <is>
          <t>63070502</t>
        </is>
      </c>
      <c r="C10" s="6" t="n">
        <v>44080</v>
      </c>
      <c r="D10" s="3" t="inlineStr">
        <is>
          <t>FZ</t>
        </is>
      </c>
      <c r="E10" s="3" t="inlineStr">
        <is>
          <t>LKR</t>
        </is>
      </c>
      <c r="F10" s="4" t="n">
        <v>157888421.12</v>
      </c>
      <c r="G10" s="3" t="inlineStr">
        <is>
          <t>USD</t>
        </is>
      </c>
      <c r="H10" s="4" t="n">
        <v>847905.17</v>
      </c>
      <c r="I10" s="5" t="inlineStr">
        <is>
          <t>NNREF EUBCNSFER REVERSEUL T 001-270206-001</t>
        </is>
      </c>
      <c r="J10" s="3">
        <f>IF(C10="","",TODAY()-C10)</f>
        <v/>
      </c>
    </row>
    <row r="11">
      <c r="A11" s="5" t="inlineStr">
        <is>
          <t>UN0150</t>
        </is>
      </c>
      <c r="B11" s="3" t="inlineStr">
        <is>
          <t>63070502</t>
        </is>
      </c>
      <c r="C11" s="6" t="n">
        <v>44110</v>
      </c>
      <c r="D11" s="3" t="inlineStr">
        <is>
          <t>FZ</t>
        </is>
      </c>
      <c r="E11" s="3" t="inlineStr">
        <is>
          <t>LKR</t>
        </is>
      </c>
      <c r="F11" s="4" t="n">
        <v>24275518.02</v>
      </c>
      <c r="G11" s="3" t="inlineStr">
        <is>
          <t>USD</t>
        </is>
      </c>
      <c r="H11" s="4" t="n">
        <v>130366.35</v>
      </c>
      <c r="I11" s="5" t="inlineStr">
        <is>
          <t>NNREF EUBCNSFER REVERSEUL T 001-270206-001</t>
        </is>
      </c>
      <c r="J11" s="3">
        <f>IF(C11="","",TODAY()-C11)</f>
        <v/>
      </c>
    </row>
    <row r="12">
      <c r="A12" s="5" t="inlineStr">
        <is>
          <t>UN0150</t>
        </is>
      </c>
      <c r="B12" s="3" t="inlineStr">
        <is>
          <t>63070502</t>
        </is>
      </c>
      <c r="C12" s="6" t="n">
        <v>44141</v>
      </c>
      <c r="D12" s="3" t="inlineStr">
        <is>
          <t>FZ</t>
        </is>
      </c>
      <c r="E12" s="3" t="inlineStr">
        <is>
          <t>LKR</t>
        </is>
      </c>
      <c r="F12" s="4" t="n">
        <v>24186394.94</v>
      </c>
      <c r="G12" s="3" t="inlineStr">
        <is>
          <t>USD</t>
        </is>
      </c>
      <c r="H12" s="4" t="n">
        <v>129887.73</v>
      </c>
      <c r="I12" s="5" t="inlineStr">
        <is>
          <t>NNREF EUBCNSFER REVERSEUL T 001-270206-001</t>
        </is>
      </c>
      <c r="J12" s="3">
        <f>IF(C12="","",TODAY()-C12)</f>
        <v/>
      </c>
    </row>
    <row r="13">
      <c r="A13" s="5" t="inlineStr">
        <is>
          <t>UN0150</t>
        </is>
      </c>
      <c r="B13" s="3" t="inlineStr">
        <is>
          <t>63070502</t>
        </is>
      </c>
      <c r="C13" s="6" t="n">
        <v>44171</v>
      </c>
      <c r="D13" s="3" t="inlineStr">
        <is>
          <t>FZ</t>
        </is>
      </c>
      <c r="E13" s="3" t="inlineStr">
        <is>
          <t>LKR</t>
        </is>
      </c>
      <c r="F13" s="4" t="n">
        <v>30598962.74</v>
      </c>
      <c r="G13" s="3" t="inlineStr">
        <is>
          <t>USD</t>
        </is>
      </c>
      <c r="H13" s="4" t="n">
        <v>164325.02</v>
      </c>
      <c r="I13" s="5" t="inlineStr">
        <is>
          <t>NNREF EUBCNSFER REVERSEUL T 001-270206-001</t>
        </is>
      </c>
      <c r="J13" s="3">
        <f>IF(C13="","",TODAY()-C13)</f>
        <v/>
      </c>
    </row>
    <row r="14">
      <c r="A14" s="5" t="inlineStr">
        <is>
          <t>UN0150</t>
        </is>
      </c>
      <c r="B14" s="3" t="inlineStr">
        <is>
          <t>63070502</t>
        </is>
      </c>
      <c r="C14" s="6" t="n">
        <v>44171</v>
      </c>
      <c r="D14" s="3" t="inlineStr">
        <is>
          <t>FZ</t>
        </is>
      </c>
      <c r="E14" s="3" t="inlineStr">
        <is>
          <t>LKR</t>
        </is>
      </c>
      <c r="F14" s="4" t="n">
        <v>15269558.62</v>
      </c>
      <c r="G14" s="3" t="inlineStr">
        <is>
          <t>USD</t>
        </is>
      </c>
      <c r="H14" s="4" t="n">
        <v>82001.82000000001</v>
      </c>
      <c r="I14" s="5" t="inlineStr">
        <is>
          <t>NNREF EUBCNSFER REVERSEUL T 001-270206-001</t>
        </is>
      </c>
      <c r="J14" s="3">
        <f>IF(C14="","",TODAY()-C14)</f>
        <v/>
      </c>
    </row>
    <row r="15">
      <c r="A15" s="5" t="inlineStr">
        <is>
          <t>UN0150</t>
        </is>
      </c>
      <c r="B15" s="3" t="inlineStr">
        <is>
          <t>63070502</t>
        </is>
      </c>
      <c r="C15" s="6" t="n">
        <v>44171</v>
      </c>
      <c r="D15" s="3" t="inlineStr">
        <is>
          <t>FZ</t>
        </is>
      </c>
      <c r="E15" s="3" t="inlineStr">
        <is>
          <t>LKR</t>
        </is>
      </c>
      <c r="F15" s="4" t="n">
        <v>15269558.62</v>
      </c>
      <c r="G15" s="3" t="inlineStr">
        <is>
          <t>USD</t>
        </is>
      </c>
      <c r="H15" s="4" t="n">
        <v>82001.82000000001</v>
      </c>
      <c r="I15" s="5" t="inlineStr">
        <is>
          <t>NNREF EUBCNSFER REVERSEUL T 001-270206-001</t>
        </is>
      </c>
      <c r="J15" s="3">
        <f>IF(C15="","",TODAY()-C15)</f>
        <v/>
      </c>
    </row>
    <row r="16">
      <c r="A16" s="5" t="inlineStr">
        <is>
          <t>UN0150</t>
        </is>
      </c>
      <c r="B16" s="3" t="inlineStr">
        <is>
          <t>63070502</t>
        </is>
      </c>
      <c r="C16" s="6" t="n">
        <v>44171</v>
      </c>
      <c r="D16" s="3" t="inlineStr">
        <is>
          <t>FZ</t>
        </is>
      </c>
      <c r="E16" s="3" t="inlineStr">
        <is>
          <t>LKR</t>
        </is>
      </c>
      <c r="F16" s="4" t="n">
        <v>15217125.29</v>
      </c>
      <c r="G16" s="3" t="inlineStr">
        <is>
          <t>USD</t>
        </is>
      </c>
      <c r="H16" s="4" t="n">
        <v>81720.24000000001</v>
      </c>
      <c r="I16" s="5" t="inlineStr">
        <is>
          <t>NNREF EUBCNSFER REVERSEUL T 001-270206-001</t>
        </is>
      </c>
      <c r="J16" s="3">
        <f>IF(C16="","",TODAY()-C16)</f>
        <v/>
      </c>
    </row>
    <row r="17">
      <c r="A17" s="5" t="inlineStr">
        <is>
          <t>UN0150</t>
        </is>
      </c>
      <c r="B17" s="3" t="inlineStr">
        <is>
          <t>63070502</t>
        </is>
      </c>
      <c r="C17" s="6" t="n">
        <v>44171</v>
      </c>
      <c r="D17" s="3" t="inlineStr">
        <is>
          <t>FZ</t>
        </is>
      </c>
      <c r="E17" s="3" t="inlineStr">
        <is>
          <t>LKR</t>
        </is>
      </c>
      <c r="F17" s="4" t="n">
        <v>13013000.04</v>
      </c>
      <c r="G17" s="3" t="inlineStr">
        <is>
          <t>USD</t>
        </is>
      </c>
      <c r="H17" s="4" t="n">
        <v>69883.47</v>
      </c>
      <c r="I17" s="5" t="inlineStr">
        <is>
          <t>NNREF EUBCNSFER REVERSEUL T 001-270206-001</t>
        </is>
      </c>
      <c r="J17" s="3">
        <f>IF(C17="","",TODAY()-C17)</f>
        <v/>
      </c>
    </row>
    <row r="18">
      <c r="A18" s="5" t="inlineStr">
        <is>
          <t>UN0150</t>
        </is>
      </c>
      <c r="B18" s="3" t="inlineStr">
        <is>
          <t>63070502</t>
        </is>
      </c>
      <c r="C18" s="6" t="n">
        <v>44171</v>
      </c>
      <c r="D18" s="3" t="inlineStr">
        <is>
          <t>FZ</t>
        </is>
      </c>
      <c r="E18" s="3" t="inlineStr">
        <is>
          <t>LKR</t>
        </is>
      </c>
      <c r="F18" s="4" t="n">
        <v>11784184.77</v>
      </c>
      <c r="G18" s="3" t="inlineStr">
        <is>
          <t>USD</t>
        </is>
      </c>
      <c r="H18" s="4" t="n">
        <v>63284.38</v>
      </c>
      <c r="I18" s="5" t="inlineStr">
        <is>
          <t>NNREF EUBCNSFER REVERSEUL T 001-270206-001</t>
        </is>
      </c>
      <c r="J18" s="3">
        <f>IF(C18="","",TODAY()-C18)</f>
        <v/>
      </c>
    </row>
    <row r="19">
      <c r="A19" s="5" t="inlineStr">
        <is>
          <t>UN0150</t>
        </is>
      </c>
      <c r="B19" s="3" t="inlineStr">
        <is>
          <t>63070502</t>
        </is>
      </c>
      <c r="C19" s="6" t="n">
        <v>44171</v>
      </c>
      <c r="D19" s="3" t="inlineStr">
        <is>
          <t>FZ</t>
        </is>
      </c>
      <c r="E19" s="3" t="inlineStr">
        <is>
          <t>LKR</t>
        </is>
      </c>
      <c r="F19" s="4" t="n">
        <v>11095154.97</v>
      </c>
      <c r="G19" s="3" t="inlineStr">
        <is>
          <t>USD</t>
        </is>
      </c>
      <c r="H19" s="4" t="n">
        <v>59584.1</v>
      </c>
      <c r="I19" s="5" t="inlineStr">
        <is>
          <t>NNREF EUBCNSFER REVERSEUL T 001-270206-001</t>
        </is>
      </c>
      <c r="J19" s="3">
        <f>IF(C19="","",TODAY()-C19)</f>
        <v/>
      </c>
    </row>
    <row r="20">
      <c r="A20" s="5" t="inlineStr">
        <is>
          <t>UN0150</t>
        </is>
      </c>
      <c r="B20" s="3" t="inlineStr">
        <is>
          <t>63070502</t>
        </is>
      </c>
      <c r="C20" s="6" t="n">
        <v>44171</v>
      </c>
      <c r="D20" s="3" t="inlineStr">
        <is>
          <t>FZ</t>
        </is>
      </c>
      <c r="E20" s="3" t="inlineStr">
        <is>
          <t>LKR</t>
        </is>
      </c>
      <c r="F20" s="4" t="n">
        <v>8753261.119999999</v>
      </c>
      <c r="G20" s="3" t="inlineStr">
        <is>
          <t>USD</t>
        </is>
      </c>
      <c r="H20" s="4" t="n">
        <v>47007.47</v>
      </c>
      <c r="I20" s="5" t="inlineStr">
        <is>
          <t>NNREF EUBCNSFER REVERSEUL T 001-270206-001</t>
        </is>
      </c>
      <c r="J20" s="3">
        <f>IF(C20="","",TODAY()-C20)</f>
        <v/>
      </c>
    </row>
    <row r="21">
      <c r="A21" s="5" t="inlineStr">
        <is>
          <t>UN0150</t>
        </is>
      </c>
      <c r="B21" s="3" t="inlineStr">
        <is>
          <t>63070502</t>
        </is>
      </c>
      <c r="C21" s="6" t="n">
        <v>44171</v>
      </c>
      <c r="D21" s="3" t="inlineStr">
        <is>
          <t>FZ</t>
        </is>
      </c>
      <c r="E21" s="3" t="inlineStr">
        <is>
          <t>LKR</t>
        </is>
      </c>
      <c r="F21" s="4" t="n">
        <v>8753261.119999999</v>
      </c>
      <c r="G21" s="3" t="inlineStr">
        <is>
          <t>USD</t>
        </is>
      </c>
      <c r="H21" s="4" t="n">
        <v>47007.47</v>
      </c>
      <c r="I21" s="5" t="inlineStr">
        <is>
          <t>NNREF EUBCNSFER REVERSEUL T 001-270206-001</t>
        </is>
      </c>
      <c r="J21" s="3">
        <f>IF(C21="","",TODAY()-C21)</f>
        <v/>
      </c>
    </row>
    <row r="22">
      <c r="A22" s="5" t="inlineStr">
        <is>
          <t>UN0150</t>
        </is>
      </c>
      <c r="B22" s="3" t="inlineStr">
        <is>
          <t>63070502</t>
        </is>
      </c>
      <c r="C22" s="6" t="n">
        <v>44171</v>
      </c>
      <c r="D22" s="3" t="inlineStr">
        <is>
          <t>FZ</t>
        </is>
      </c>
      <c r="E22" s="3" t="inlineStr">
        <is>
          <t>LKR</t>
        </is>
      </c>
      <c r="F22" s="4" t="n">
        <v>8510209.58</v>
      </c>
      <c r="G22" s="3" t="inlineStr">
        <is>
          <t>USD</t>
        </is>
      </c>
      <c r="H22" s="4" t="n">
        <v>45702.22</v>
      </c>
      <c r="I22" s="5" t="inlineStr">
        <is>
          <t>NNREF EUBCNSFER REVERSEUL T 001-270206-001</t>
        </is>
      </c>
      <c r="J22" s="3">
        <f>IF(C22="","",TODAY()-C22)</f>
        <v/>
      </c>
    </row>
    <row r="23">
      <c r="A23" s="5" t="inlineStr">
        <is>
          <t>UN0150</t>
        </is>
      </c>
      <c r="B23" s="3" t="inlineStr">
        <is>
          <t>63070502</t>
        </is>
      </c>
      <c r="C23" s="6" t="n">
        <v>44171</v>
      </c>
      <c r="D23" s="3" t="inlineStr">
        <is>
          <t>FZ</t>
        </is>
      </c>
      <c r="E23" s="3" t="inlineStr">
        <is>
          <t>LKR</t>
        </is>
      </c>
      <c r="F23" s="4" t="n">
        <v>150235.21</v>
      </c>
      <c r="G23" s="3" t="inlineStr">
        <is>
          <t>USD</t>
        </is>
      </c>
      <c r="H23" s="4" t="n">
        <v>806.8099999999999</v>
      </c>
      <c r="I23" s="5" t="inlineStr">
        <is>
          <t>NNREF EUBCNSFER REVERSEUL T 001-270206-001</t>
        </is>
      </c>
      <c r="J23" s="3">
        <f>IF(C23="","",TODAY()-C23)</f>
        <v/>
      </c>
    </row>
    <row r="24">
      <c r="A24" s="5" t="inlineStr">
        <is>
          <t>UN0150</t>
        </is>
      </c>
      <c r="B24" s="3" t="inlineStr">
        <is>
          <t>63070502</t>
        </is>
      </c>
      <c r="C24" s="6" t="n">
        <v>44171</v>
      </c>
      <c r="D24" s="3" t="inlineStr">
        <is>
          <t>FZ</t>
        </is>
      </c>
      <c r="E24" s="3" t="inlineStr">
        <is>
          <t>LKR</t>
        </is>
      </c>
      <c r="F24" s="4" t="n">
        <v>27074051.83</v>
      </c>
      <c r="G24" s="3" t="inlineStr">
        <is>
          <t>USD</t>
        </is>
      </c>
      <c r="H24" s="4" t="n">
        <v>145395.26</v>
      </c>
      <c r="I24" s="5" t="inlineStr">
        <is>
          <t>NNREF EUBCNSFER REVERSEUL T 001-270206-001</t>
        </is>
      </c>
      <c r="J24" s="3">
        <f>IF(C24="","",TODAY()-C24)</f>
        <v/>
      </c>
    </row>
    <row r="25">
      <c r="A25" s="5" t="inlineStr">
        <is>
          <t>UN0150</t>
        </is>
      </c>
      <c r="B25" s="3" t="inlineStr">
        <is>
          <t>63070502</t>
        </is>
      </c>
      <c r="C25" s="6" t="n">
        <v>44171</v>
      </c>
      <c r="D25" s="3" t="inlineStr">
        <is>
          <t>FZ</t>
        </is>
      </c>
      <c r="E25" s="3" t="inlineStr">
        <is>
          <t>LKR</t>
        </is>
      </c>
      <c r="F25" s="4" t="n">
        <v>18038698.1</v>
      </c>
      <c r="G25" s="3" t="inlineStr">
        <is>
          <t>USD</t>
        </is>
      </c>
      <c r="H25" s="4" t="n">
        <v>96872.88</v>
      </c>
      <c r="I25" s="5" t="inlineStr">
        <is>
          <t>NNREF EUBCNSFER REVERSEUL T 001-270206-001</t>
        </is>
      </c>
      <c r="J25" s="3">
        <f>IF(C25="","",TODAY()-C25)</f>
        <v/>
      </c>
    </row>
    <row r="26">
      <c r="A26" s="7" t="n"/>
      <c r="B26" s="7" t="n"/>
      <c r="C26" s="7" t="n"/>
      <c r="D26" s="7" t="n"/>
      <c r="E26" s="7" t="n"/>
      <c r="F26" s="8">
        <f>SUM(F4:F25)</f>
        <v/>
      </c>
      <c r="G26" s="7" t="n"/>
      <c r="H26" s="8">
        <f>SUM(H4:H25)</f>
        <v/>
      </c>
      <c r="I26" s="7" t="n"/>
      <c r="J26" s="7" t="n"/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2026-02-17T08:03:26Z</dcterms:created>
  <dcterms:modified xsi:type="dcterms:W3CDTF">2026-02-17T08:03:27Z</dcterms:modified>
</cp:coreProperties>
</file>